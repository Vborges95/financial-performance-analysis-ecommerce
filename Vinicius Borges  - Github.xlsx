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ge\OneDrive\Documentos\"/>
    </mc:Choice>
  </mc:AlternateContent>
  <xr:revisionPtr revIDLastSave="0" documentId="13_ncr:1_{AFE2E497-369B-470F-8677-36FAFE86DA94}" xr6:coauthVersionLast="47" xr6:coauthVersionMax="47" xr10:uidLastSave="{00000000-0000-0000-0000-000000000000}"/>
  <bookViews>
    <workbookView xWindow="-120" yWindow="-120" windowWidth="20730" windowHeight="11040" activeTab="2" xr2:uid="{706EB709-DF76-4763-9F28-5F6438130970}"/>
  </bookViews>
  <sheets>
    <sheet name="Instruções" sheetId="3" r:id="rId1"/>
    <sheet name="Dados" sheetId="4" r:id="rId2"/>
    <sheet name="DFs (2)" sheetId="6" r:id="rId3"/>
  </sheets>
  <definedNames>
    <definedName name="_xlnm._FilterDatabase" localSheetId="1" hidden="1">Dados!$B$5:$K$155</definedName>
    <definedName name="_xlnm._FilterDatabase" localSheetId="2" hidden="1">'DFs (2)'!#REF!</definedName>
    <definedName name="_xlnm._FilterDatabase" localSheetId="0" hidden="1">Instruções!#REF!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0" i="6" l="1"/>
  <c r="M29" i="6"/>
  <c r="M28" i="6"/>
  <c r="M27" i="6"/>
  <c r="M26" i="6"/>
  <c r="M24" i="6"/>
  <c r="M20" i="6"/>
  <c r="M22" i="6"/>
  <c r="J44" i="6"/>
  <c r="J43" i="6"/>
  <c r="J42" i="6"/>
  <c r="J41" i="6"/>
  <c r="J40" i="6"/>
  <c r="J38" i="6"/>
  <c r="J36" i="6"/>
  <c r="J34" i="6"/>
  <c r="J21" i="6"/>
  <c r="J29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J28" i="6"/>
  <c r="E28" i="6"/>
  <c r="D28" i="6"/>
  <c r="J27" i="6"/>
  <c r="E27" i="6"/>
  <c r="D27" i="6"/>
  <c r="J26" i="6"/>
  <c r="E26" i="6"/>
  <c r="D26" i="6"/>
  <c r="J25" i="6"/>
  <c r="E25" i="6"/>
  <c r="D25" i="6"/>
  <c r="E24" i="6"/>
  <c r="D24" i="6"/>
  <c r="J23" i="6"/>
  <c r="E23" i="6"/>
  <c r="D23" i="6"/>
  <c r="E22" i="6"/>
  <c r="D22" i="6"/>
  <c r="E21" i="6"/>
  <c r="D21" i="6"/>
  <c r="F21" i="6" s="1"/>
  <c r="C22" i="6" s="1"/>
  <c r="F22" i="6" s="1"/>
  <c r="C23" i="6" s="1"/>
  <c r="C15" i="6"/>
  <c r="C14" i="6"/>
  <c r="C12" i="6"/>
  <c r="C11" i="6"/>
  <c r="C8" i="6"/>
  <c r="C7" i="6"/>
  <c r="C9" i="6" s="1"/>
  <c r="C16" i="6" s="1"/>
  <c r="J45" i="6" l="1"/>
  <c r="M31" i="6"/>
  <c r="F23" i="6"/>
  <c r="C24" i="6" s="1"/>
  <c r="F24" i="6" s="1"/>
  <c r="C25" i="6" s="1"/>
  <c r="F25" i="6" s="1"/>
  <c r="C26" i="6" s="1"/>
  <c r="F26" i="6" s="1"/>
  <c r="C27" i="6" s="1"/>
  <c r="F27" i="6" s="1"/>
  <c r="C28" i="6" s="1"/>
  <c r="F28" i="6" s="1"/>
  <c r="C29" i="6" s="1"/>
  <c r="F29" i="6" s="1"/>
  <c r="C30" i="6" s="1"/>
  <c r="F30" i="6" s="1"/>
  <c r="C31" i="6" s="1"/>
  <c r="F31" i="6" s="1"/>
  <c r="C32" i="6" s="1"/>
  <c r="F32" i="6" s="1"/>
  <c r="C33" i="6" s="1"/>
  <c r="F33" i="6" s="1"/>
  <c r="C34" i="6" s="1"/>
  <c r="F34" i="6" s="1"/>
  <c r="C35" i="6" s="1"/>
  <c r="F35" i="6" s="1"/>
  <c r="C36" i="6" s="1"/>
  <c r="F36" i="6" s="1"/>
  <c r="C37" i="6" s="1"/>
  <c r="F37" i="6" s="1"/>
  <c r="C38" i="6" s="1"/>
  <c r="F38" i="6" s="1"/>
  <c r="C39" i="6" s="1"/>
  <c r="F39" i="6" s="1"/>
  <c r="C40" i="6" s="1"/>
  <c r="F40" i="6" s="1"/>
  <c r="C41" i="6" s="1"/>
  <c r="F41" i="6" s="1"/>
  <c r="C42" i="6" s="1"/>
  <c r="F42" i="6" s="1"/>
  <c r="C43" i="6" s="1"/>
  <c r="F43" i="6" s="1"/>
  <c r="C44" i="6" s="1"/>
  <c r="F44" i="6" s="1"/>
  <c r="C45" i="6" s="1"/>
  <c r="F45" i="6" s="1"/>
  <c r="C46" i="6" s="1"/>
  <c r="F46" i="6" s="1"/>
  <c r="C47" i="6" s="1"/>
  <c r="F47" i="6" s="1"/>
  <c r="C48" i="6" s="1"/>
  <c r="F48" i="6" s="1"/>
  <c r="C49" i="6" s="1"/>
  <c r="F49" i="6" s="1"/>
  <c r="C50" i="6" s="1"/>
  <c r="F50" i="6" s="1"/>
  <c r="C51" i="6" s="1"/>
  <c r="F51" i="6" s="1"/>
  <c r="J30" i="6"/>
</calcChain>
</file>

<file path=xl/sharedStrings.xml><?xml version="1.0" encoding="utf-8"?>
<sst xmlns="http://schemas.openxmlformats.org/spreadsheetml/2006/main" count="521" uniqueCount="50">
  <si>
    <t>Data</t>
  </si>
  <si>
    <t>Loja</t>
  </si>
  <si>
    <t>Produto</t>
  </si>
  <si>
    <t>Status</t>
  </si>
  <si>
    <t>Valor Pago</t>
  </si>
  <si>
    <t>Data Reembolso</t>
  </si>
  <si>
    <t>Valor Reembolsado</t>
  </si>
  <si>
    <t>Custo de Produção</t>
  </si>
  <si>
    <t>Custo de Envio</t>
  </si>
  <si>
    <t>Loja A</t>
  </si>
  <si>
    <t>Loja B</t>
  </si>
  <si>
    <t>Loja C</t>
  </si>
  <si>
    <t>Produto U</t>
  </si>
  <si>
    <t>Produto V</t>
  </si>
  <si>
    <t>Produto W</t>
  </si>
  <si>
    <t>Produto X</t>
  </si>
  <si>
    <t>Produto Y</t>
  </si>
  <si>
    <t>Produto Z</t>
  </si>
  <si>
    <t>Pago</t>
  </si>
  <si>
    <t>Reembolsado</t>
  </si>
  <si>
    <t>Comissão</t>
  </si>
  <si>
    <t>Receita Bruta</t>
  </si>
  <si>
    <t>DRE</t>
  </si>
  <si>
    <t>(-) Deduções/Taxas</t>
  </si>
  <si>
    <t>(=) Receita Líquida</t>
  </si>
  <si>
    <t>(-) CPV (Custo de Vendas)</t>
  </si>
  <si>
    <t>(-) Despesas Variáveis</t>
  </si>
  <si>
    <t>(=) Lucro Operacional</t>
  </si>
  <si>
    <t>Comissões</t>
  </si>
  <si>
    <t>Reembolsos</t>
  </si>
  <si>
    <t>DFC COMPLETO</t>
  </si>
  <si>
    <t>Saldo Inicial</t>
  </si>
  <si>
    <t>Entradas</t>
  </si>
  <si>
    <t>Saidas</t>
  </si>
  <si>
    <t>Saldo Final</t>
  </si>
  <si>
    <t>Saldo Inicial de Caixa</t>
  </si>
  <si>
    <t>Total de Vendas</t>
  </si>
  <si>
    <t>Saídas</t>
  </si>
  <si>
    <t>Taxas</t>
  </si>
  <si>
    <t>Reembolso</t>
  </si>
  <si>
    <t>Custo de produção</t>
  </si>
  <si>
    <t>Saldo Final de Caixa</t>
  </si>
  <si>
    <t>Data do Caixa</t>
  </si>
  <si>
    <t>DFC DIARIO</t>
  </si>
  <si>
    <t>DFC DIARIO POR LOJA</t>
  </si>
  <si>
    <t>DFC DIARIO POR PRODUTO</t>
  </si>
  <si>
    <t>Demonstrações Financeiras</t>
  </si>
  <si>
    <t>Base de Dados</t>
  </si>
  <si>
    <t>Instruções</t>
  </si>
  <si>
    <r>
      <t xml:space="preserve">Você é o novo analista financeiro da empresa e seu primeiro desafio é elaborar os demonstrativos financeiros de janeiro de 2026.
Na aba “Dados” você tem a extração dos dados de uma plataforma de vendas.
</t>
    </r>
    <r>
      <rPr>
        <b/>
        <sz val="12"/>
        <color theme="1" tint="0.34998626667073579"/>
        <rFont val="Aptos Narrow"/>
        <family val="2"/>
      </rPr>
      <t>Sua missão é montar um DRE e um DFC diários para cada loja e produto e, com base nos resultados, apresentar a sua análise e insights sobre a situação de cada produto e loja.</t>
    </r>
    <r>
      <rPr>
        <sz val="12"/>
        <color theme="1" tint="0.34998626667073579"/>
        <rFont val="Aptos Narrow"/>
        <family val="2"/>
      </rPr>
      <t xml:space="preserve">
</t>
    </r>
    <r>
      <rPr>
        <sz val="10"/>
        <color theme="1" tint="0.34998626667073579"/>
        <rFont val="Aptos Narrow"/>
        <family val="2"/>
      </rPr>
      <t xml:space="preserve">
</t>
    </r>
    <r>
      <rPr>
        <b/>
        <sz val="10"/>
        <color theme="1" tint="0.34998626667073579"/>
        <rFont val="Aptos Narrow"/>
        <family val="2"/>
      </rPr>
      <t>Pode seguir a DRE até o lucro operacional, não há necessidade de levar em consideração dívidas e impostos</t>
    </r>
    <r>
      <rPr>
        <sz val="10"/>
        <color theme="1" tint="0.34998626667073579"/>
        <rFont val="Aptos Narrow"/>
        <family val="2"/>
      </rPr>
      <t xml:space="preserve">
Pontos importantes: 
1. A receita fica disponível em nossa conta 2 dias após a venda;
2. Comissões e reembolsos são descontados no ato da venda;
3. Essa plataforma cobra uma taxa de 5,00% sobre o valor da venda;
4. Os custos de produção e envio são pagos quando o produto é entregue ao cliente. Considere uma média de 7 dias a partir da data da comprar para a entrega ser efetuada.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</si>
</sst>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;\(#,##0.00\);_-* &quot;-&quot;??_-;_-@_-"/>
  </numFmts>
  <fonts count="17" x14ac:knownFonts="1">
    <font>
      <sz val="11"/>
      <color theme="1"/>
      <name val="Calibri"/>
      <family val="2"/>
      <scheme val="minor"/>
    </font>
    <font>
      <sz val="10"/>
      <color theme="1" tint="0.34998626667073579"/>
      <name val="Aptos Narrow"/>
      <family val="2"/>
    </font>
    <font>
      <b/>
      <sz val="10"/>
      <color theme="1" tint="0.34998626667073579"/>
      <name val="Aptos Narrow"/>
      <family val="2"/>
    </font>
    <font>
      <b/>
      <sz val="10"/>
      <color theme="0"/>
      <name val="Aptos Narrow"/>
      <family val="2"/>
    </font>
    <font>
      <sz val="10"/>
      <color theme="0"/>
      <name val="Aptos Narrow"/>
      <family val="2"/>
    </font>
    <font>
      <b/>
      <sz val="10"/>
      <color rgb="FF6439CF"/>
      <name val="Aptos Narrow"/>
      <family val="2"/>
    </font>
    <font>
      <sz val="11"/>
      <color theme="1"/>
      <name val="Calibri"/>
      <family val="2"/>
      <scheme val="minor"/>
    </font>
    <font>
      <sz val="12"/>
      <color theme="1" tint="0.3499862666707357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Aptos Narrow"/>
      <family val="2"/>
    </font>
    <font>
      <sz val="10"/>
      <name val="Aptos Narrow"/>
      <family val="2"/>
    </font>
    <font>
      <sz val="10"/>
      <name val="Times New Roman"/>
      <family val="1"/>
    </font>
    <font>
      <sz val="10"/>
      <color theme="1" tint="0.34998626667073579"/>
      <name val="Times New Roman"/>
      <family val="1"/>
    </font>
    <font>
      <b/>
      <sz val="10"/>
      <name val="Times New Roman"/>
      <family val="1"/>
    </font>
    <font>
      <sz val="12"/>
      <color theme="1" tint="0.34998626667073579"/>
      <name val="Aptos Narrow"/>
      <family val="2"/>
    </font>
    <font>
      <b/>
      <sz val="12"/>
      <color theme="1" tint="0.34998626667073579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6439CF"/>
      </top>
      <bottom style="medium">
        <color rgb="FF6439C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8">
    <xf numFmtId="0" fontId="0" fillId="0" borderId="0" xfId="0"/>
    <xf numFmtId="164" fontId="1" fillId="0" borderId="0" xfId="0" applyNumberFormat="1" applyFont="1"/>
    <xf numFmtId="164" fontId="5" fillId="0" borderId="1" xfId="0" applyNumberFormat="1" applyFont="1" applyBorder="1"/>
    <xf numFmtId="15" fontId="1" fillId="0" borderId="0" xfId="0" applyNumberFormat="1" applyFont="1"/>
    <xf numFmtId="164" fontId="7" fillId="0" borderId="0" xfId="0" applyNumberFormat="1" applyFont="1"/>
    <xf numFmtId="15" fontId="8" fillId="0" borderId="2" xfId="0" applyNumberFormat="1" applyFont="1" applyBorder="1"/>
    <xf numFmtId="164" fontId="8" fillId="0" borderId="2" xfId="0" applyNumberFormat="1" applyFont="1" applyBorder="1"/>
    <xf numFmtId="164" fontId="9" fillId="0" borderId="2" xfId="0" applyNumberFormat="1" applyFont="1" applyBorder="1"/>
    <xf numFmtId="15" fontId="9" fillId="0" borderId="2" xfId="0" applyNumberFormat="1" applyFont="1" applyBorder="1"/>
    <xf numFmtId="0" fontId="8" fillId="0" borderId="2" xfId="0" applyFont="1" applyBorder="1"/>
    <xf numFmtId="44" fontId="1" fillId="0" borderId="0" xfId="1" applyFont="1"/>
    <xf numFmtId="44" fontId="10" fillId="0" borderId="2" xfId="1" applyFont="1" applyBorder="1"/>
    <xf numFmtId="44" fontId="11" fillId="0" borderId="2" xfId="1" applyFont="1" applyBorder="1"/>
    <xf numFmtId="44" fontId="1" fillId="0" borderId="0" xfId="1" applyFont="1" applyBorder="1"/>
    <xf numFmtId="15" fontId="9" fillId="0" borderId="2" xfId="0" applyNumberFormat="1" applyFont="1" applyBorder="1" applyAlignment="1">
      <alignment horizontal="center"/>
    </xf>
    <xf numFmtId="44" fontId="9" fillId="0" borderId="2" xfId="1" applyFont="1" applyBorder="1"/>
    <xf numFmtId="15" fontId="12" fillId="0" borderId="2" xfId="0" applyNumberFormat="1" applyFont="1" applyBorder="1" applyAlignment="1">
      <alignment horizontal="center"/>
    </xf>
    <xf numFmtId="44" fontId="12" fillId="0" borderId="2" xfId="1" applyFont="1" applyBorder="1"/>
    <xf numFmtId="44" fontId="13" fillId="0" borderId="2" xfId="1" applyFont="1" applyBorder="1"/>
    <xf numFmtId="164" fontId="14" fillId="0" borderId="2" xfId="0" applyNumberFormat="1" applyFont="1" applyBorder="1"/>
    <xf numFmtId="164" fontId="12" fillId="0" borderId="2" xfId="0" applyNumberFormat="1" applyFont="1" applyBorder="1"/>
    <xf numFmtId="164" fontId="14" fillId="0" borderId="4" xfId="0" applyNumberFormat="1" applyFont="1" applyBorder="1"/>
    <xf numFmtId="44" fontId="13" fillId="0" borderId="6" xfId="1" applyFont="1" applyBorder="1"/>
    <xf numFmtId="14" fontId="14" fillId="2" borderId="3" xfId="0" applyNumberFormat="1" applyFont="1" applyFill="1" applyBorder="1" applyProtection="1">
      <protection locked="0"/>
    </xf>
    <xf numFmtId="14" fontId="13" fillId="0" borderId="5" xfId="0" applyNumberFormat="1" applyFont="1" applyBorder="1"/>
    <xf numFmtId="164" fontId="14" fillId="3" borderId="3" xfId="0" applyNumberFormat="1" applyFont="1" applyFill="1" applyBorder="1" applyProtection="1">
      <protection locked="0"/>
    </xf>
    <xf numFmtId="164" fontId="10" fillId="4" borderId="0" xfId="0" applyNumberFormat="1" applyFont="1" applyFill="1"/>
    <xf numFmtId="164" fontId="11" fillId="4" borderId="0" xfId="0" applyNumberFormat="1" applyFont="1" applyFill="1"/>
    <xf numFmtId="164" fontId="3" fillId="4" borderId="0" xfId="0" applyNumberFormat="1" applyFont="1" applyFill="1"/>
    <xf numFmtId="164" fontId="4" fillId="4" borderId="0" xfId="0" applyNumberFormat="1" applyFont="1" applyFill="1"/>
    <xf numFmtId="164" fontId="2" fillId="4" borderId="0" xfId="0" applyNumberFormat="1" applyFont="1" applyFill="1"/>
    <xf numFmtId="164" fontId="1" fillId="4" borderId="0" xfId="0" applyNumberFormat="1" applyFont="1" applyFill="1"/>
    <xf numFmtId="44" fontId="10" fillId="4" borderId="0" xfId="1" applyFont="1" applyFill="1"/>
    <xf numFmtId="0" fontId="1" fillId="0" borderId="0" xfId="0" applyFont="1" applyAlignment="1">
      <alignment horizontal="left" vertical="center" wrapText="1"/>
    </xf>
    <xf numFmtId="164" fontId="9" fillId="0" borderId="2" xfId="0" applyNumberFormat="1" applyFont="1" applyBorder="1" applyAlignment="1">
      <alignment horizontal="center"/>
    </xf>
    <xf numFmtId="15" fontId="8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6439CF"/>
      <color rgb="FFE6DEF6"/>
      <color rgb="FF391F8B"/>
      <color rgb="FF8C8CA4"/>
      <color rgb="FFDDD2F3"/>
      <color rgb="FF100A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296333</xdr:colOff>
      <xdr:row>53</xdr:row>
      <xdr:rowOff>74082</xdr:rowOff>
    </xdr:from>
    <xdr:to>
      <xdr:col>10</xdr:col>
      <xdr:colOff>698500</xdr:colOff>
      <xdr:row>136</xdr:row>
      <xdr:rowOff>21166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FBEB533-BFF0-A70A-67C0-1E89297BD98A}"/>
            </a:ext>
          </a:extLst>
        </xdr:cNvPr>
        <xdr:cNvSpPr txBox="1"/>
      </xdr:nvSpPr>
      <xdr:spPr>
        <a:xfrm>
          <a:off x="412750" y="9440332"/>
          <a:ext cx="10022417" cy="14001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Relatório de Performance Financeira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Janeiro/2026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Visão Geral Consolidada (DRE)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Janeiro encerrou com uma operação sólida e lucrativa, reforçando a sustentabilidade do modelo de negócio.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Principais Destaques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empresa apresentou margem operacional de 28,4%, considerada saudável para e-commerce.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CPV (Produção + Envio) representa apenas 14,4% da receita, evidenciando eficiência operacional.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maior peso da estrutura está nas Despesas Variáveis, especialmente: Comissões (39,8%) e Reembolsos (12,3%).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Somadas, as despesas comerciais consomem aproximadamente 52% da receita bruta.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operação é lucrativa, porém a rentabilidade está mais sensível à eficiência comercial (comissões e reembolsos) do que à estrutura produtiva. Como esses itens representam cerca de 52% da receita bruta, reduzir reembolsos e/ou renegociar comissões tende a gerar um ganho relevante e imediato no lucro operacional.</a:t>
          </a:r>
        </a:p>
        <a:p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Análise por Loja e Produto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análise detalhada por loja e produto revelou diferenças importantes de performance.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Loja A – Produto V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Segundo maior lucro nominal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Forte contribuição para faturamento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 sólida de geração de caixa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Apesar de não apresentar a maior margem percentual, o Produto V se destaca pelo volume consistente e forte contribuição ao faturamento total, funcionando como base de estabilidade operacional. Sua previsibilidade de vendas contribui para geração contínua de caixa e diluição de riscos.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Loja B – Produto W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Ponto de Atenção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Menor margem do portfólio: 20,68%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Elevado custo de comissão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Alta taxa de reembolso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modelo comercial atual está comprimindo a rentabilidade. Produto ainda lucrativo, mas com baixa eficiência relativa.</a:t>
          </a:r>
        </a:p>
        <a:p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Loja C – Produto Z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melhor no quesito margem</a:t>
          </a:r>
          <a:endParaRPr lang="pt-BR">
            <a:effectLst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Margem: 38,68%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Baixo índice de reembolso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 logístico controlado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Produto mais eficiente do portfólio, onde cada real investido gera maior retorno líquido.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Dinâmica de Fluxo de Caixa (DFC)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modelo operacional apresenta um ciclo financeiro favorável, contribuindo para escalabilidade.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Ciclo de Caixa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Recebimento: D+2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Pagamento de Produção/Envio: D+7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Isso gera um ciclo financeiro positivo (recebemos antes de pagar fornecedores).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Diferença entre Lucro e Caixa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Lucro Operacional: R$ 14.613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Saldo Final de Caixa: R$ 12.351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diferença decorre do descasamento temporal: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Parte das vendas de final de mês entra apenas em fevereiro (D+2)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Parte dos custos ainda será paga em fevereiro (D+7)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modelo mostra geração real de caixa, mas com efeito temporal.</a:t>
          </a:r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Recomendações Estratégicas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Revisão de Afiliados – Loja B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Renegociar comissão do Produto W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Revisar página de vendas para reduzir reembolsos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Meta: elevar margem para 25–28%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Impacto potencial direto na margem consolidada.</a:t>
          </a:r>
        </a:p>
        <a:p>
          <a:b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Escalar Produto de Alta Eficiência – Loja C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Aumentar investimento em marketing do Produto Z em +20%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Priorizar tráfego pago para esse SKU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Produto mais resiliente às taxas e com maior retorno marginal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Gestão de Tesouraria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Manter saldo mínimo de R$ 2.000 no início de cada mês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Evitar descasamento de comissões (D+0)</a:t>
          </a:r>
        </a:p>
        <a:p>
          <a:pPr lvl="0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Planejamento financeiro mensal baseado no pico de desembolso inicial</a:t>
          </a:r>
        </a:p>
        <a:p>
          <a:pPr lvl="0"/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Conclusão</a:t>
          </a:r>
          <a:endParaRPr lang="pt-B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empresa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encerra janeiro em posição financeira confortável com uma operação lucrativa, uma margem operacional sólida e com um caixa final saudável.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Entretanto, a análise evidencia que o principal vetor de impacto sobre a rentabilidade está na estrutura comercial (comissões e reembolsos). A priorização da otimização dessas despesas e a expansão dos produtos de maior margem devem ser o foco estratégico do próximo trimestre.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 ajustes direcionados na política comercial e alocação de marketing, a empresa possui potencial claro de expansão de margem sem necessidade de mudanças estruturais na operação.</a:t>
          </a: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860C-74AF-4DCD-BA6C-F6C2E63C2A73}">
  <dimension ref="A1:ZY34"/>
  <sheetViews>
    <sheetView showGridLines="0" zoomScale="90" zoomScaleNormal="90" workbookViewId="0">
      <selection activeCell="B5" sqref="B5:N34"/>
    </sheetView>
  </sheetViews>
  <sheetFormatPr defaultColWidth="9.140625" defaultRowHeight="13.5" x14ac:dyDescent="0.25"/>
  <cols>
    <col min="1" max="1" width="1.7109375" style="1" customWidth="1"/>
    <col min="2" max="77" width="10.7109375" style="1" customWidth="1"/>
    <col min="78" max="16384" width="9.140625" style="1"/>
  </cols>
  <sheetData>
    <row r="1" spans="1:701" ht="9" customHeight="1" x14ac:dyDescent="0.25"/>
    <row r="3" spans="1:701" s="27" customFormat="1" x14ac:dyDescent="0.25">
      <c r="A3" s="1"/>
      <c r="B3" s="26" t="s">
        <v>48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</row>
    <row r="5" spans="1:701" ht="13.15" customHeight="1" x14ac:dyDescent="0.25">
      <c r="B5" s="33" t="s">
        <v>49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701" x14ac:dyDescent="0.25"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701" x14ac:dyDescent="0.25"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spans="1:701" x14ac:dyDescent="0.25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9" spans="1:701" x14ac:dyDescent="0.25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spans="1:701" x14ac:dyDescent="0.25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spans="1:701" x14ac:dyDescent="0.25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spans="1:701" x14ac:dyDescent="0.25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spans="1:701" x14ac:dyDescent="0.25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701" x14ac:dyDescent="0.25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spans="1:701" x14ac:dyDescent="0.25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</row>
    <row r="16" spans="1:701" x14ac:dyDescent="0.25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</row>
    <row r="17" spans="2:14" x14ac:dyDescent="0.25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</row>
    <row r="18" spans="2:14" x14ac:dyDescent="0.25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</row>
    <row r="19" spans="2:14" x14ac:dyDescent="0.25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spans="2:14" x14ac:dyDescent="0.25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spans="2:14" x14ac:dyDescent="0.25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spans="2:14" x14ac:dyDescent="0.25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</row>
    <row r="23" spans="2:14" x14ac:dyDescent="0.25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spans="2:14" x14ac:dyDescent="0.25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  <row r="25" spans="2:14" x14ac:dyDescent="0.25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</row>
    <row r="26" spans="2:14" x14ac:dyDescent="0.25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</row>
    <row r="27" spans="2:14" x14ac:dyDescent="0.25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</row>
    <row r="28" spans="2:14" x14ac:dyDescent="0.25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2:14" x14ac:dyDescent="0.25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</row>
    <row r="30" spans="2:14" x14ac:dyDescent="0.25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</row>
    <row r="31" spans="2:14" x14ac:dyDescent="0.25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spans="2:14" x14ac:dyDescent="0.25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</row>
    <row r="33" spans="2:14" x14ac:dyDescent="0.25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</row>
    <row r="34" spans="2:14" x14ac:dyDescent="0.25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</row>
  </sheetData>
  <mergeCells count="1">
    <mergeCell ref="B5:N3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AAD8-C6D5-4A49-AE07-FF826CC7F598}">
  <sheetPr filterMode="1"/>
  <dimension ref="A1:ZY155"/>
  <sheetViews>
    <sheetView showGridLines="0" topLeftCell="A134" zoomScale="90" zoomScaleNormal="90" workbookViewId="0">
      <selection activeCell="B5" sqref="B5"/>
    </sheetView>
  </sheetViews>
  <sheetFormatPr defaultColWidth="9.140625" defaultRowHeight="13.5" x14ac:dyDescent="0.25"/>
  <cols>
    <col min="1" max="1" width="1.7109375" style="1" customWidth="1"/>
    <col min="2" max="7" width="10.7109375" style="1" customWidth="1"/>
    <col min="8" max="8" width="20.28515625" style="1" bestFit="1" customWidth="1"/>
    <col min="9" max="9" width="19.85546875" style="1" bestFit="1" customWidth="1"/>
    <col min="10" max="10" width="16.28515625" style="1" bestFit="1" customWidth="1"/>
    <col min="11" max="77" width="10.7109375" style="1" customWidth="1"/>
    <col min="78" max="16384" width="9.140625" style="1"/>
  </cols>
  <sheetData>
    <row r="1" spans="1:701" ht="9" customHeight="1" x14ac:dyDescent="0.25"/>
    <row r="3" spans="1:701" s="31" customFormat="1" x14ac:dyDescent="0.25">
      <c r="A3" s="1"/>
      <c r="B3" s="26" t="s">
        <v>47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0"/>
      <c r="MI3" s="30"/>
      <c r="MJ3" s="30"/>
      <c r="MK3" s="30"/>
      <c r="ML3" s="30"/>
      <c r="MM3" s="30"/>
      <c r="MN3" s="30"/>
      <c r="MO3" s="30"/>
      <c r="MP3" s="30"/>
      <c r="MQ3" s="30"/>
      <c r="MR3" s="30"/>
      <c r="MS3" s="30"/>
      <c r="MT3" s="30"/>
      <c r="MU3" s="30"/>
      <c r="MV3" s="30"/>
      <c r="MW3" s="30"/>
      <c r="MX3" s="30"/>
      <c r="MY3" s="30"/>
      <c r="MZ3" s="30"/>
      <c r="NA3" s="30"/>
      <c r="NB3" s="30"/>
      <c r="NC3" s="30"/>
      <c r="ND3" s="30"/>
      <c r="NE3" s="30"/>
      <c r="NF3" s="30"/>
      <c r="NG3" s="30"/>
      <c r="NH3" s="30"/>
      <c r="NI3" s="30"/>
      <c r="NJ3" s="30"/>
      <c r="NK3" s="30"/>
      <c r="NL3" s="30"/>
      <c r="NM3" s="30"/>
      <c r="NN3" s="30"/>
      <c r="NO3" s="30"/>
      <c r="NP3" s="30"/>
      <c r="NQ3" s="30"/>
      <c r="NR3" s="30"/>
      <c r="NS3" s="30"/>
      <c r="NT3" s="30"/>
      <c r="NU3" s="30"/>
      <c r="NV3" s="30"/>
      <c r="NW3" s="30"/>
      <c r="NX3" s="30"/>
      <c r="NY3" s="30"/>
      <c r="NZ3" s="30"/>
      <c r="OA3" s="30"/>
      <c r="OB3" s="30"/>
      <c r="OC3" s="30"/>
      <c r="OD3" s="30"/>
      <c r="OE3" s="30"/>
      <c r="OF3" s="30"/>
      <c r="OG3" s="30"/>
      <c r="OH3" s="30"/>
      <c r="OI3" s="30"/>
      <c r="OJ3" s="30"/>
      <c r="OK3" s="30"/>
      <c r="OL3" s="30"/>
      <c r="OM3" s="30"/>
      <c r="ON3" s="30"/>
      <c r="OO3" s="30"/>
      <c r="OP3" s="30"/>
      <c r="OQ3" s="30"/>
      <c r="OR3" s="30"/>
      <c r="OS3" s="30"/>
      <c r="OT3" s="30"/>
      <c r="OU3" s="30"/>
      <c r="OV3" s="30"/>
      <c r="OW3" s="30"/>
      <c r="OX3" s="30"/>
      <c r="OY3" s="30"/>
      <c r="OZ3" s="30"/>
      <c r="PA3" s="30"/>
      <c r="PB3" s="30"/>
      <c r="PC3" s="30"/>
      <c r="PD3" s="30"/>
      <c r="PE3" s="30"/>
      <c r="PF3" s="30"/>
      <c r="PG3" s="30"/>
      <c r="PH3" s="30"/>
      <c r="PI3" s="30"/>
      <c r="PJ3" s="30"/>
      <c r="PK3" s="30"/>
      <c r="PL3" s="30"/>
      <c r="PM3" s="30"/>
      <c r="PN3" s="30"/>
      <c r="PO3" s="30"/>
      <c r="PP3" s="30"/>
      <c r="PQ3" s="30"/>
      <c r="PR3" s="30"/>
      <c r="PS3" s="30"/>
      <c r="PT3" s="30"/>
      <c r="PU3" s="30"/>
      <c r="PV3" s="30"/>
      <c r="PW3" s="30"/>
      <c r="PX3" s="30"/>
      <c r="PY3" s="30"/>
      <c r="PZ3" s="30"/>
      <c r="QA3" s="30"/>
      <c r="QB3" s="30"/>
      <c r="QC3" s="30"/>
      <c r="QD3" s="30"/>
      <c r="QE3" s="30"/>
      <c r="QF3" s="30"/>
      <c r="QG3" s="30"/>
      <c r="QH3" s="30"/>
      <c r="QI3" s="30"/>
      <c r="QJ3" s="30"/>
      <c r="QK3" s="30"/>
      <c r="QL3" s="30"/>
      <c r="QM3" s="30"/>
      <c r="QN3" s="30"/>
      <c r="QO3" s="30"/>
      <c r="QP3" s="30"/>
      <c r="QQ3" s="30"/>
      <c r="QR3" s="30"/>
      <c r="QS3" s="30"/>
      <c r="QT3" s="30"/>
      <c r="QU3" s="30"/>
      <c r="QV3" s="30"/>
      <c r="QW3" s="30"/>
      <c r="QX3" s="30"/>
      <c r="QY3" s="30"/>
      <c r="QZ3" s="30"/>
      <c r="RA3" s="30"/>
      <c r="RB3" s="30"/>
      <c r="RC3" s="30"/>
      <c r="RD3" s="30"/>
      <c r="RE3" s="30"/>
      <c r="RF3" s="30"/>
      <c r="RG3" s="30"/>
      <c r="RH3" s="30"/>
      <c r="RI3" s="30"/>
      <c r="RJ3" s="30"/>
      <c r="RK3" s="30"/>
      <c r="RL3" s="30"/>
      <c r="RM3" s="30"/>
      <c r="RN3" s="30"/>
      <c r="RO3" s="30"/>
      <c r="RP3" s="30"/>
      <c r="RQ3" s="30"/>
      <c r="RR3" s="30"/>
      <c r="RS3" s="30"/>
      <c r="RT3" s="30"/>
      <c r="RU3" s="30"/>
      <c r="RV3" s="30"/>
      <c r="RW3" s="30"/>
      <c r="RX3" s="30"/>
      <c r="RY3" s="30"/>
      <c r="RZ3" s="30"/>
      <c r="SA3" s="30"/>
      <c r="SB3" s="30"/>
      <c r="SC3" s="30"/>
      <c r="SD3" s="30"/>
      <c r="SE3" s="30"/>
      <c r="SF3" s="30"/>
      <c r="SG3" s="30"/>
      <c r="SH3" s="30"/>
      <c r="SI3" s="30"/>
      <c r="SJ3" s="30"/>
      <c r="SK3" s="30"/>
      <c r="SL3" s="30"/>
      <c r="SM3" s="30"/>
      <c r="SN3" s="30"/>
      <c r="SO3" s="30"/>
      <c r="SP3" s="30"/>
      <c r="SQ3" s="30"/>
      <c r="SR3" s="30"/>
      <c r="SS3" s="30"/>
      <c r="ST3" s="30"/>
      <c r="SU3" s="30"/>
      <c r="SV3" s="30"/>
      <c r="SW3" s="30"/>
      <c r="SX3" s="30"/>
      <c r="SY3" s="30"/>
      <c r="SZ3" s="30"/>
      <c r="TA3" s="30"/>
      <c r="TB3" s="30"/>
      <c r="TC3" s="30"/>
      <c r="TD3" s="30"/>
      <c r="TE3" s="30"/>
      <c r="TF3" s="30"/>
      <c r="TG3" s="30"/>
      <c r="TH3" s="30"/>
      <c r="TI3" s="30"/>
      <c r="TJ3" s="30"/>
      <c r="TK3" s="30"/>
      <c r="TL3" s="30"/>
      <c r="TM3" s="30"/>
      <c r="TN3" s="30"/>
      <c r="TO3" s="30"/>
      <c r="TP3" s="30"/>
      <c r="TQ3" s="30"/>
      <c r="TR3" s="30"/>
      <c r="TS3" s="30"/>
      <c r="TT3" s="30"/>
      <c r="TU3" s="30"/>
      <c r="TV3" s="30"/>
      <c r="TW3" s="30"/>
      <c r="TX3" s="30"/>
      <c r="TY3" s="30"/>
      <c r="TZ3" s="30"/>
      <c r="UA3" s="30"/>
      <c r="UB3" s="30"/>
      <c r="UC3" s="30"/>
      <c r="UD3" s="30"/>
      <c r="UE3" s="30"/>
      <c r="UF3" s="30"/>
      <c r="UG3" s="30"/>
      <c r="UH3" s="30"/>
      <c r="UI3" s="30"/>
      <c r="UJ3" s="30"/>
      <c r="UK3" s="30"/>
      <c r="UL3" s="30"/>
      <c r="UM3" s="30"/>
      <c r="UN3" s="30"/>
      <c r="UO3" s="30"/>
      <c r="UP3" s="30"/>
      <c r="UQ3" s="30"/>
      <c r="UR3" s="30"/>
      <c r="US3" s="30"/>
      <c r="UT3" s="30"/>
      <c r="UU3" s="30"/>
      <c r="UV3" s="30"/>
      <c r="UW3" s="30"/>
      <c r="UX3" s="30"/>
      <c r="UY3" s="30"/>
      <c r="UZ3" s="30"/>
      <c r="VA3" s="30"/>
      <c r="VB3" s="30"/>
      <c r="VC3" s="30"/>
      <c r="VD3" s="30"/>
      <c r="VE3" s="30"/>
      <c r="VF3" s="30"/>
      <c r="VG3" s="30"/>
      <c r="VH3" s="30"/>
      <c r="VI3" s="30"/>
      <c r="VJ3" s="30"/>
      <c r="VK3" s="30"/>
      <c r="VL3" s="30"/>
      <c r="VM3" s="30"/>
      <c r="VN3" s="30"/>
      <c r="VO3" s="30"/>
      <c r="VP3" s="30"/>
      <c r="VQ3" s="30"/>
      <c r="VR3" s="30"/>
      <c r="VS3" s="30"/>
      <c r="VT3" s="30"/>
      <c r="VU3" s="30"/>
      <c r="VV3" s="30"/>
      <c r="VW3" s="30"/>
      <c r="VX3" s="30"/>
      <c r="VY3" s="30"/>
      <c r="VZ3" s="30"/>
      <c r="WA3" s="30"/>
      <c r="WB3" s="30"/>
      <c r="WC3" s="30"/>
      <c r="WD3" s="30"/>
      <c r="WE3" s="30"/>
      <c r="WF3" s="30"/>
      <c r="WG3" s="30"/>
      <c r="WH3" s="30"/>
      <c r="WI3" s="30"/>
      <c r="WJ3" s="30"/>
      <c r="WK3" s="30"/>
      <c r="WL3" s="30"/>
      <c r="WM3" s="30"/>
      <c r="WN3" s="30"/>
      <c r="WO3" s="30"/>
      <c r="WP3" s="30"/>
      <c r="WQ3" s="30"/>
      <c r="WR3" s="30"/>
      <c r="WS3" s="30"/>
      <c r="WT3" s="30"/>
      <c r="WU3" s="30"/>
      <c r="WV3" s="30"/>
      <c r="WW3" s="30"/>
      <c r="WX3" s="30"/>
      <c r="WY3" s="30"/>
      <c r="WZ3" s="30"/>
      <c r="XA3" s="30"/>
      <c r="XB3" s="30"/>
      <c r="XC3" s="30"/>
      <c r="XD3" s="30"/>
      <c r="XE3" s="30"/>
      <c r="XF3" s="30"/>
      <c r="XG3" s="30"/>
      <c r="XH3" s="30"/>
      <c r="XI3" s="30"/>
      <c r="XJ3" s="30"/>
      <c r="XK3" s="30"/>
      <c r="XL3" s="30"/>
      <c r="XM3" s="30"/>
      <c r="XN3" s="30"/>
      <c r="XO3" s="30"/>
      <c r="XP3" s="30"/>
      <c r="XQ3" s="30"/>
      <c r="XR3" s="30"/>
      <c r="XS3" s="30"/>
      <c r="XT3" s="30"/>
      <c r="XU3" s="30"/>
      <c r="XV3" s="30"/>
      <c r="XW3" s="30"/>
      <c r="XX3" s="30"/>
      <c r="XY3" s="30"/>
      <c r="XZ3" s="30"/>
      <c r="YA3" s="30"/>
      <c r="YB3" s="30"/>
      <c r="YC3" s="30"/>
      <c r="YD3" s="30"/>
      <c r="YE3" s="30"/>
      <c r="YF3" s="30"/>
      <c r="YG3" s="30"/>
      <c r="YH3" s="30"/>
      <c r="YI3" s="30"/>
      <c r="YJ3" s="30"/>
      <c r="YK3" s="30"/>
      <c r="YL3" s="30"/>
      <c r="YM3" s="30"/>
      <c r="YN3" s="30"/>
      <c r="YO3" s="30"/>
      <c r="YP3" s="30"/>
      <c r="YQ3" s="30"/>
      <c r="YR3" s="30"/>
      <c r="YS3" s="30"/>
      <c r="YT3" s="30"/>
      <c r="YU3" s="30"/>
      <c r="YV3" s="30"/>
      <c r="YW3" s="30"/>
      <c r="YX3" s="30"/>
      <c r="YY3" s="30"/>
      <c r="YZ3" s="30"/>
      <c r="ZA3" s="30"/>
      <c r="ZB3" s="30"/>
      <c r="ZC3" s="30"/>
      <c r="ZD3" s="30"/>
      <c r="ZE3" s="30"/>
      <c r="ZF3" s="30"/>
      <c r="ZG3" s="30"/>
      <c r="ZH3" s="30"/>
      <c r="ZI3" s="30"/>
      <c r="ZJ3" s="30"/>
      <c r="ZK3" s="30"/>
      <c r="ZL3" s="30"/>
      <c r="ZM3" s="30"/>
      <c r="ZN3" s="30"/>
      <c r="ZO3" s="30"/>
      <c r="ZP3" s="30"/>
      <c r="ZQ3" s="30"/>
      <c r="ZR3" s="30"/>
      <c r="ZS3" s="30"/>
      <c r="ZT3" s="30"/>
      <c r="ZU3" s="30"/>
      <c r="ZV3" s="30"/>
      <c r="ZW3" s="30"/>
      <c r="ZX3" s="30"/>
      <c r="ZY3" s="30"/>
    </row>
    <row r="5" spans="1:701" ht="14.25" thickBot="1" x14ac:dyDescent="0.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20</v>
      </c>
    </row>
    <row r="6" spans="1:701" hidden="1" x14ac:dyDescent="0.25">
      <c r="B6" s="3">
        <v>46023</v>
      </c>
      <c r="C6" s="1" t="s">
        <v>10</v>
      </c>
      <c r="D6" s="1" t="s">
        <v>14</v>
      </c>
      <c r="E6" s="1" t="s">
        <v>18</v>
      </c>
      <c r="F6" s="1">
        <v>300</v>
      </c>
      <c r="I6" s="1">
        <v>30</v>
      </c>
      <c r="J6" s="1">
        <v>20</v>
      </c>
      <c r="K6" s="1">
        <v>150</v>
      </c>
      <c r="N6" s="3"/>
    </row>
    <row r="7" spans="1:701" hidden="1" x14ac:dyDescent="0.25">
      <c r="B7" s="3">
        <v>46023</v>
      </c>
      <c r="C7" s="1" t="s">
        <v>11</v>
      </c>
      <c r="D7" s="1" t="s">
        <v>16</v>
      </c>
      <c r="E7" s="1" t="s">
        <v>18</v>
      </c>
      <c r="F7" s="1">
        <v>400</v>
      </c>
      <c r="I7" s="1">
        <v>40</v>
      </c>
      <c r="J7" s="1">
        <v>10</v>
      </c>
      <c r="K7" s="1">
        <v>200</v>
      </c>
      <c r="N7" s="3"/>
    </row>
    <row r="8" spans="1:701" x14ac:dyDescent="0.25">
      <c r="B8" s="3">
        <v>46024</v>
      </c>
      <c r="C8" s="1" t="s">
        <v>9</v>
      </c>
      <c r="D8" s="1" t="s">
        <v>12</v>
      </c>
      <c r="E8" s="1" t="s">
        <v>19</v>
      </c>
      <c r="F8" s="1">
        <v>200</v>
      </c>
      <c r="G8" s="3">
        <v>46042</v>
      </c>
      <c r="H8" s="1">
        <v>200</v>
      </c>
      <c r="I8" s="1">
        <v>20</v>
      </c>
      <c r="J8" s="1">
        <v>19</v>
      </c>
      <c r="K8" s="1">
        <v>0</v>
      </c>
      <c r="N8" s="3"/>
    </row>
    <row r="9" spans="1:701" hidden="1" x14ac:dyDescent="0.25">
      <c r="B9" s="3">
        <v>46024</v>
      </c>
      <c r="C9" s="1" t="s">
        <v>10</v>
      </c>
      <c r="D9" s="1" t="s">
        <v>15</v>
      </c>
      <c r="E9" s="1" t="s">
        <v>18</v>
      </c>
      <c r="F9" s="1">
        <v>350</v>
      </c>
      <c r="I9" s="1">
        <v>35</v>
      </c>
      <c r="J9" s="1">
        <v>18</v>
      </c>
      <c r="K9" s="1">
        <v>175</v>
      </c>
      <c r="N9" s="3"/>
    </row>
    <row r="10" spans="1:701" x14ac:dyDescent="0.25">
      <c r="B10" s="3">
        <v>46024</v>
      </c>
      <c r="C10" s="1" t="s">
        <v>9</v>
      </c>
      <c r="D10" s="1" t="s">
        <v>13</v>
      </c>
      <c r="E10" s="1" t="s">
        <v>18</v>
      </c>
      <c r="F10" s="1">
        <v>250</v>
      </c>
      <c r="I10" s="1">
        <v>25</v>
      </c>
      <c r="J10" s="1">
        <v>12</v>
      </c>
      <c r="K10" s="1">
        <v>0</v>
      </c>
      <c r="N10" s="3"/>
    </row>
    <row r="11" spans="1:701" hidden="1" x14ac:dyDescent="0.25">
      <c r="B11" s="3">
        <v>46024</v>
      </c>
      <c r="C11" s="1" t="s">
        <v>10</v>
      </c>
      <c r="D11" s="1" t="s">
        <v>15</v>
      </c>
      <c r="E11" s="1" t="s">
        <v>18</v>
      </c>
      <c r="F11" s="1">
        <v>350</v>
      </c>
      <c r="I11" s="1">
        <v>35</v>
      </c>
      <c r="J11" s="1">
        <v>19</v>
      </c>
      <c r="K11" s="1">
        <v>175</v>
      </c>
      <c r="N11" s="3"/>
    </row>
    <row r="12" spans="1:701" hidden="1" x14ac:dyDescent="0.25">
      <c r="B12" s="3">
        <v>46025</v>
      </c>
      <c r="C12" s="1" t="s">
        <v>10</v>
      </c>
      <c r="D12" s="1" t="s">
        <v>14</v>
      </c>
      <c r="E12" s="1" t="s">
        <v>18</v>
      </c>
      <c r="F12" s="1">
        <v>300</v>
      </c>
      <c r="I12" s="1">
        <v>30</v>
      </c>
      <c r="J12" s="1">
        <v>17</v>
      </c>
      <c r="K12" s="1">
        <v>150</v>
      </c>
      <c r="N12" s="3"/>
    </row>
    <row r="13" spans="1:701" x14ac:dyDescent="0.25">
      <c r="B13" s="3">
        <v>46025</v>
      </c>
      <c r="C13" s="1" t="s">
        <v>9</v>
      </c>
      <c r="D13" s="1" t="s">
        <v>12</v>
      </c>
      <c r="E13" s="1" t="s">
        <v>18</v>
      </c>
      <c r="F13" s="1">
        <v>200</v>
      </c>
      <c r="I13" s="1">
        <v>20</v>
      </c>
      <c r="J13" s="1">
        <v>13</v>
      </c>
      <c r="K13" s="1">
        <v>100</v>
      </c>
      <c r="N13" s="3"/>
    </row>
    <row r="14" spans="1:701" hidden="1" x14ac:dyDescent="0.25">
      <c r="B14" s="3">
        <v>46025</v>
      </c>
      <c r="C14" s="1" t="s">
        <v>11</v>
      </c>
      <c r="D14" s="1" t="s">
        <v>17</v>
      </c>
      <c r="E14" s="1" t="s">
        <v>18</v>
      </c>
      <c r="F14" s="1">
        <v>600</v>
      </c>
      <c r="I14" s="1">
        <v>60</v>
      </c>
      <c r="J14" s="1">
        <v>19</v>
      </c>
      <c r="K14" s="1">
        <v>300</v>
      </c>
      <c r="N14" s="3"/>
    </row>
    <row r="15" spans="1:701" x14ac:dyDescent="0.25">
      <c r="B15" s="3">
        <v>46025</v>
      </c>
      <c r="C15" s="1" t="s">
        <v>9</v>
      </c>
      <c r="D15" s="1" t="s">
        <v>12</v>
      </c>
      <c r="E15" s="1" t="s">
        <v>19</v>
      </c>
      <c r="F15" s="1">
        <v>200</v>
      </c>
      <c r="G15" s="3">
        <v>46037</v>
      </c>
      <c r="H15" s="1">
        <v>150</v>
      </c>
      <c r="I15" s="1">
        <v>20</v>
      </c>
      <c r="J15" s="1">
        <v>14</v>
      </c>
      <c r="K15" s="1">
        <v>0</v>
      </c>
      <c r="N15" s="3"/>
    </row>
    <row r="16" spans="1:701" x14ac:dyDescent="0.25">
      <c r="B16" s="3">
        <v>46025</v>
      </c>
      <c r="C16" s="1" t="s">
        <v>9</v>
      </c>
      <c r="D16" s="1" t="s">
        <v>13</v>
      </c>
      <c r="E16" s="1" t="s">
        <v>18</v>
      </c>
      <c r="F16" s="1">
        <v>250</v>
      </c>
      <c r="I16" s="1">
        <v>25</v>
      </c>
      <c r="J16" s="1">
        <v>18</v>
      </c>
      <c r="K16" s="1">
        <v>0</v>
      </c>
      <c r="N16" s="3"/>
    </row>
    <row r="17" spans="2:14" hidden="1" x14ac:dyDescent="0.25">
      <c r="B17" s="3">
        <v>46025</v>
      </c>
      <c r="C17" s="1" t="s">
        <v>11</v>
      </c>
      <c r="D17" s="1" t="s">
        <v>17</v>
      </c>
      <c r="E17" s="1" t="s">
        <v>18</v>
      </c>
      <c r="F17" s="1">
        <v>600</v>
      </c>
      <c r="I17" s="1">
        <v>60</v>
      </c>
      <c r="J17" s="1">
        <v>14</v>
      </c>
      <c r="K17" s="1">
        <v>300</v>
      </c>
      <c r="N17" s="3"/>
    </row>
    <row r="18" spans="2:14" hidden="1" x14ac:dyDescent="0.25">
      <c r="B18" s="3">
        <v>46025</v>
      </c>
      <c r="C18" s="1" t="s">
        <v>10</v>
      </c>
      <c r="D18" s="1" t="s">
        <v>14</v>
      </c>
      <c r="E18" s="1" t="s">
        <v>18</v>
      </c>
      <c r="F18" s="1">
        <v>300</v>
      </c>
      <c r="I18" s="1">
        <v>30</v>
      </c>
      <c r="J18" s="1">
        <v>17</v>
      </c>
      <c r="K18" s="1">
        <v>150</v>
      </c>
      <c r="N18" s="3"/>
    </row>
    <row r="19" spans="2:14" hidden="1" x14ac:dyDescent="0.25">
      <c r="B19" s="3">
        <v>46026</v>
      </c>
      <c r="C19" s="1" t="s">
        <v>11</v>
      </c>
      <c r="D19" s="1" t="s">
        <v>16</v>
      </c>
      <c r="E19" s="1" t="s">
        <v>18</v>
      </c>
      <c r="F19" s="1">
        <v>400</v>
      </c>
      <c r="I19" s="1">
        <v>40</v>
      </c>
      <c r="J19" s="1">
        <v>16</v>
      </c>
      <c r="K19" s="1">
        <v>200</v>
      </c>
      <c r="N19" s="3"/>
    </row>
    <row r="20" spans="2:14" x14ac:dyDescent="0.25">
      <c r="B20" s="3">
        <v>46026</v>
      </c>
      <c r="C20" s="1" t="s">
        <v>9</v>
      </c>
      <c r="D20" s="1" t="s">
        <v>12</v>
      </c>
      <c r="E20" s="1" t="s">
        <v>18</v>
      </c>
      <c r="F20" s="1">
        <v>200</v>
      </c>
      <c r="I20" s="1">
        <v>20</v>
      </c>
      <c r="J20" s="1">
        <v>18</v>
      </c>
      <c r="K20" s="1">
        <v>0</v>
      </c>
      <c r="N20" s="3"/>
    </row>
    <row r="21" spans="2:14" x14ac:dyDescent="0.25">
      <c r="B21" s="3">
        <v>46026</v>
      </c>
      <c r="C21" s="1" t="s">
        <v>9</v>
      </c>
      <c r="D21" s="1" t="s">
        <v>13</v>
      </c>
      <c r="E21" s="1" t="s">
        <v>18</v>
      </c>
      <c r="F21" s="1">
        <v>250</v>
      </c>
      <c r="I21" s="1">
        <v>25</v>
      </c>
      <c r="J21" s="1">
        <v>10</v>
      </c>
      <c r="K21" s="1">
        <v>125</v>
      </c>
      <c r="N21" s="3"/>
    </row>
    <row r="22" spans="2:14" hidden="1" x14ac:dyDescent="0.25">
      <c r="B22" s="3">
        <v>46026</v>
      </c>
      <c r="C22" s="1" t="s">
        <v>10</v>
      </c>
      <c r="D22" s="1" t="s">
        <v>15</v>
      </c>
      <c r="E22" s="1" t="s">
        <v>18</v>
      </c>
      <c r="F22" s="1">
        <v>350</v>
      </c>
      <c r="I22" s="1">
        <v>35</v>
      </c>
      <c r="J22" s="1">
        <v>12</v>
      </c>
      <c r="K22" s="1">
        <v>175</v>
      </c>
      <c r="N22" s="3"/>
    </row>
    <row r="23" spans="2:14" hidden="1" x14ac:dyDescent="0.25">
      <c r="B23" s="3">
        <v>46026</v>
      </c>
      <c r="C23" s="1" t="s">
        <v>11</v>
      </c>
      <c r="D23" s="1" t="s">
        <v>16</v>
      </c>
      <c r="E23" s="1" t="s">
        <v>18</v>
      </c>
      <c r="F23" s="1">
        <v>400</v>
      </c>
      <c r="I23" s="1">
        <v>40</v>
      </c>
      <c r="J23" s="1">
        <v>10</v>
      </c>
      <c r="K23" s="1">
        <v>0</v>
      </c>
      <c r="N23" s="3"/>
    </row>
    <row r="24" spans="2:14" hidden="1" x14ac:dyDescent="0.25">
      <c r="B24" s="3">
        <v>46026</v>
      </c>
      <c r="C24" s="1" t="s">
        <v>11</v>
      </c>
      <c r="D24" s="1" t="s">
        <v>17</v>
      </c>
      <c r="E24" s="1" t="s">
        <v>18</v>
      </c>
      <c r="F24" s="1">
        <v>600</v>
      </c>
      <c r="I24" s="1">
        <v>60</v>
      </c>
      <c r="J24" s="1">
        <v>14</v>
      </c>
      <c r="K24" s="1">
        <v>300</v>
      </c>
      <c r="N24" s="3"/>
    </row>
    <row r="25" spans="2:14" hidden="1" x14ac:dyDescent="0.25">
      <c r="B25" s="3">
        <v>46026</v>
      </c>
      <c r="C25" s="1" t="s">
        <v>11</v>
      </c>
      <c r="D25" s="1" t="s">
        <v>16</v>
      </c>
      <c r="E25" s="1" t="s">
        <v>18</v>
      </c>
      <c r="F25" s="1">
        <v>400</v>
      </c>
      <c r="I25" s="1">
        <v>40</v>
      </c>
      <c r="J25" s="1">
        <v>16</v>
      </c>
      <c r="K25" s="1">
        <v>200</v>
      </c>
      <c r="N25" s="3"/>
    </row>
    <row r="26" spans="2:14" hidden="1" x14ac:dyDescent="0.25">
      <c r="B26" s="3">
        <v>46027</v>
      </c>
      <c r="C26" s="1" t="s">
        <v>11</v>
      </c>
      <c r="D26" s="1" t="s">
        <v>16</v>
      </c>
      <c r="E26" s="1" t="s">
        <v>19</v>
      </c>
      <c r="F26" s="1">
        <v>400</v>
      </c>
      <c r="G26" s="3">
        <v>46027</v>
      </c>
      <c r="H26" s="1">
        <v>280</v>
      </c>
      <c r="I26" s="1">
        <v>40</v>
      </c>
      <c r="J26" s="1">
        <v>15</v>
      </c>
      <c r="K26" s="1">
        <v>200</v>
      </c>
      <c r="N26" s="3"/>
    </row>
    <row r="27" spans="2:14" hidden="1" x14ac:dyDescent="0.25">
      <c r="B27" s="3">
        <v>46027</v>
      </c>
      <c r="C27" s="1" t="s">
        <v>10</v>
      </c>
      <c r="D27" s="1" t="s">
        <v>15</v>
      </c>
      <c r="E27" s="1" t="s">
        <v>19</v>
      </c>
      <c r="F27" s="1">
        <v>350</v>
      </c>
      <c r="G27" s="3">
        <v>46047</v>
      </c>
      <c r="H27" s="1">
        <v>300</v>
      </c>
      <c r="I27" s="1">
        <v>35</v>
      </c>
      <c r="J27" s="1">
        <v>17</v>
      </c>
      <c r="K27" s="1">
        <v>175</v>
      </c>
      <c r="N27" s="3"/>
    </row>
    <row r="28" spans="2:14" x14ac:dyDescent="0.25">
      <c r="B28" s="3">
        <v>46027</v>
      </c>
      <c r="C28" s="1" t="s">
        <v>9</v>
      </c>
      <c r="D28" s="1" t="s">
        <v>13</v>
      </c>
      <c r="E28" s="1" t="s">
        <v>19</v>
      </c>
      <c r="F28" s="1">
        <v>250</v>
      </c>
      <c r="G28" s="3">
        <v>46028</v>
      </c>
      <c r="H28" s="1">
        <v>250</v>
      </c>
      <c r="I28" s="1">
        <v>25</v>
      </c>
      <c r="J28" s="1">
        <v>14</v>
      </c>
      <c r="K28" s="1">
        <v>0</v>
      </c>
      <c r="N28" s="3"/>
    </row>
    <row r="29" spans="2:14" hidden="1" x14ac:dyDescent="0.25">
      <c r="B29" s="3">
        <v>46027</v>
      </c>
      <c r="C29" s="1" t="s">
        <v>10</v>
      </c>
      <c r="D29" s="1" t="s">
        <v>15</v>
      </c>
      <c r="E29" s="1" t="s">
        <v>18</v>
      </c>
      <c r="F29" s="1">
        <v>350</v>
      </c>
      <c r="I29" s="1">
        <v>35</v>
      </c>
      <c r="J29" s="1">
        <v>11</v>
      </c>
      <c r="K29" s="1">
        <v>175</v>
      </c>
      <c r="N29" s="3"/>
    </row>
    <row r="30" spans="2:14" x14ac:dyDescent="0.25">
      <c r="B30" s="3">
        <v>46028</v>
      </c>
      <c r="C30" s="1" t="s">
        <v>9</v>
      </c>
      <c r="D30" s="1" t="s">
        <v>13</v>
      </c>
      <c r="E30" s="1" t="s">
        <v>18</v>
      </c>
      <c r="F30" s="1">
        <v>250</v>
      </c>
      <c r="I30" s="1">
        <v>25</v>
      </c>
      <c r="J30" s="1">
        <v>10</v>
      </c>
      <c r="K30" s="1">
        <v>0</v>
      </c>
      <c r="N30" s="3"/>
    </row>
    <row r="31" spans="2:14" hidden="1" x14ac:dyDescent="0.25">
      <c r="B31" s="3">
        <v>46028</v>
      </c>
      <c r="C31" s="1" t="s">
        <v>10</v>
      </c>
      <c r="D31" s="1" t="s">
        <v>14</v>
      </c>
      <c r="E31" s="1" t="s">
        <v>18</v>
      </c>
      <c r="F31" s="1">
        <v>300</v>
      </c>
      <c r="I31" s="1">
        <v>30</v>
      </c>
      <c r="J31" s="1">
        <v>20</v>
      </c>
      <c r="K31" s="1">
        <v>150</v>
      </c>
      <c r="N31" s="3"/>
    </row>
    <row r="32" spans="2:14" hidden="1" x14ac:dyDescent="0.25">
      <c r="B32" s="3">
        <v>46028</v>
      </c>
      <c r="C32" s="1" t="s">
        <v>11</v>
      </c>
      <c r="D32" s="1" t="s">
        <v>16</v>
      </c>
      <c r="E32" s="1" t="s">
        <v>18</v>
      </c>
      <c r="F32" s="1">
        <v>400</v>
      </c>
      <c r="I32" s="1">
        <v>40</v>
      </c>
      <c r="J32" s="1">
        <v>13</v>
      </c>
      <c r="K32" s="1">
        <v>200</v>
      </c>
      <c r="N32" s="3"/>
    </row>
    <row r="33" spans="2:14" hidden="1" x14ac:dyDescent="0.25">
      <c r="B33" s="3">
        <v>46028</v>
      </c>
      <c r="C33" s="1" t="s">
        <v>10</v>
      </c>
      <c r="D33" s="1" t="s">
        <v>14</v>
      </c>
      <c r="E33" s="1" t="s">
        <v>18</v>
      </c>
      <c r="F33" s="1">
        <v>300</v>
      </c>
      <c r="I33" s="1">
        <v>30</v>
      </c>
      <c r="J33" s="1">
        <v>12</v>
      </c>
      <c r="K33" s="1">
        <v>150</v>
      </c>
      <c r="N33" s="3"/>
    </row>
    <row r="34" spans="2:14" hidden="1" x14ac:dyDescent="0.25">
      <c r="B34" s="3">
        <v>46028</v>
      </c>
      <c r="C34" s="1" t="s">
        <v>10</v>
      </c>
      <c r="D34" s="1" t="s">
        <v>15</v>
      </c>
      <c r="E34" s="1" t="s">
        <v>18</v>
      </c>
      <c r="F34" s="1">
        <v>350</v>
      </c>
      <c r="I34" s="1">
        <v>35</v>
      </c>
      <c r="J34" s="1">
        <v>12</v>
      </c>
      <c r="K34" s="1">
        <v>175</v>
      </c>
      <c r="N34" s="3"/>
    </row>
    <row r="35" spans="2:14" x14ac:dyDescent="0.25">
      <c r="B35" s="3">
        <v>46028</v>
      </c>
      <c r="C35" s="1" t="s">
        <v>9</v>
      </c>
      <c r="D35" s="1" t="s">
        <v>13</v>
      </c>
      <c r="E35" s="1" t="s">
        <v>18</v>
      </c>
      <c r="F35" s="1">
        <v>250</v>
      </c>
      <c r="I35" s="1">
        <v>25</v>
      </c>
      <c r="J35" s="1">
        <v>12</v>
      </c>
      <c r="K35" s="1">
        <v>0</v>
      </c>
      <c r="N35" s="3"/>
    </row>
    <row r="36" spans="2:14" hidden="1" x14ac:dyDescent="0.25">
      <c r="B36" s="3">
        <v>46028</v>
      </c>
      <c r="C36" s="1" t="s">
        <v>11</v>
      </c>
      <c r="D36" s="1" t="s">
        <v>17</v>
      </c>
      <c r="E36" s="1" t="s">
        <v>18</v>
      </c>
      <c r="F36" s="1">
        <v>600</v>
      </c>
      <c r="I36" s="1">
        <v>60</v>
      </c>
      <c r="J36" s="1">
        <v>13</v>
      </c>
      <c r="K36" s="1">
        <v>300</v>
      </c>
      <c r="N36" s="3"/>
    </row>
    <row r="37" spans="2:14" hidden="1" x14ac:dyDescent="0.25">
      <c r="B37" s="3">
        <v>46028</v>
      </c>
      <c r="C37" s="1" t="s">
        <v>10</v>
      </c>
      <c r="D37" s="1" t="s">
        <v>15</v>
      </c>
      <c r="E37" s="1" t="s">
        <v>18</v>
      </c>
      <c r="F37" s="1">
        <v>350</v>
      </c>
      <c r="I37" s="1">
        <v>35</v>
      </c>
      <c r="J37" s="1">
        <v>14</v>
      </c>
      <c r="K37" s="1">
        <v>175</v>
      </c>
    </row>
    <row r="38" spans="2:14" x14ac:dyDescent="0.25">
      <c r="B38" s="3">
        <v>46029</v>
      </c>
      <c r="C38" s="1" t="s">
        <v>9</v>
      </c>
      <c r="D38" s="1" t="s">
        <v>12</v>
      </c>
      <c r="E38" s="1" t="s">
        <v>18</v>
      </c>
      <c r="F38" s="1">
        <v>200</v>
      </c>
      <c r="I38" s="1">
        <v>20</v>
      </c>
      <c r="J38" s="1">
        <v>14</v>
      </c>
      <c r="K38" s="1">
        <v>100</v>
      </c>
    </row>
    <row r="39" spans="2:14" x14ac:dyDescent="0.25">
      <c r="B39" s="3">
        <v>46029</v>
      </c>
      <c r="C39" s="1" t="s">
        <v>9</v>
      </c>
      <c r="D39" s="1" t="s">
        <v>13</v>
      </c>
      <c r="E39" s="1" t="s">
        <v>18</v>
      </c>
      <c r="F39" s="1">
        <v>250</v>
      </c>
      <c r="I39" s="1">
        <v>25</v>
      </c>
      <c r="J39" s="1">
        <v>20</v>
      </c>
      <c r="K39" s="1">
        <v>0</v>
      </c>
    </row>
    <row r="40" spans="2:14" hidden="1" x14ac:dyDescent="0.25">
      <c r="B40" s="3">
        <v>46031</v>
      </c>
      <c r="C40" s="1" t="s">
        <v>11</v>
      </c>
      <c r="D40" s="1" t="s">
        <v>16</v>
      </c>
      <c r="E40" s="1" t="s">
        <v>18</v>
      </c>
      <c r="F40" s="1">
        <v>400</v>
      </c>
      <c r="I40" s="1">
        <v>40</v>
      </c>
      <c r="J40" s="1">
        <v>14</v>
      </c>
      <c r="K40" s="1">
        <v>200</v>
      </c>
    </row>
    <row r="41" spans="2:14" hidden="1" x14ac:dyDescent="0.25">
      <c r="B41" s="3">
        <v>46031</v>
      </c>
      <c r="C41" s="1" t="s">
        <v>10</v>
      </c>
      <c r="D41" s="1" t="s">
        <v>14</v>
      </c>
      <c r="E41" s="1" t="s">
        <v>18</v>
      </c>
      <c r="F41" s="1">
        <v>300</v>
      </c>
      <c r="I41" s="1">
        <v>30</v>
      </c>
      <c r="J41" s="1">
        <v>10</v>
      </c>
      <c r="K41" s="1">
        <v>150</v>
      </c>
    </row>
    <row r="42" spans="2:14" hidden="1" x14ac:dyDescent="0.25">
      <c r="B42" s="3">
        <v>46031</v>
      </c>
      <c r="C42" s="1" t="s">
        <v>10</v>
      </c>
      <c r="D42" s="1" t="s">
        <v>14</v>
      </c>
      <c r="E42" s="1" t="s">
        <v>18</v>
      </c>
      <c r="F42" s="1">
        <v>300</v>
      </c>
      <c r="I42" s="1">
        <v>30</v>
      </c>
      <c r="J42" s="1">
        <v>15</v>
      </c>
      <c r="K42" s="1">
        <v>150</v>
      </c>
    </row>
    <row r="43" spans="2:14" x14ac:dyDescent="0.25">
      <c r="B43" s="3">
        <v>46032</v>
      </c>
      <c r="C43" s="1" t="s">
        <v>9</v>
      </c>
      <c r="D43" s="1" t="s">
        <v>12</v>
      </c>
      <c r="E43" s="1" t="s">
        <v>18</v>
      </c>
      <c r="F43" s="1">
        <v>200</v>
      </c>
      <c r="I43" s="1">
        <v>20</v>
      </c>
      <c r="J43" s="1">
        <v>14</v>
      </c>
      <c r="K43" s="1">
        <v>0</v>
      </c>
    </row>
    <row r="44" spans="2:14" hidden="1" x14ac:dyDescent="0.25">
      <c r="B44" s="3">
        <v>46032</v>
      </c>
      <c r="C44" s="1" t="s">
        <v>11</v>
      </c>
      <c r="D44" s="1" t="s">
        <v>16</v>
      </c>
      <c r="E44" s="1" t="s">
        <v>18</v>
      </c>
      <c r="F44" s="1">
        <v>400</v>
      </c>
      <c r="I44" s="1">
        <v>40</v>
      </c>
      <c r="J44" s="1">
        <v>12</v>
      </c>
      <c r="K44" s="1">
        <v>200</v>
      </c>
    </row>
    <row r="45" spans="2:14" hidden="1" x14ac:dyDescent="0.25">
      <c r="B45" s="3">
        <v>46032</v>
      </c>
      <c r="C45" s="1" t="s">
        <v>10</v>
      </c>
      <c r="D45" s="1" t="s">
        <v>15</v>
      </c>
      <c r="E45" s="1" t="s">
        <v>18</v>
      </c>
      <c r="F45" s="1">
        <v>350</v>
      </c>
      <c r="I45" s="1">
        <v>35</v>
      </c>
      <c r="J45" s="1">
        <v>16</v>
      </c>
      <c r="K45" s="1">
        <v>0</v>
      </c>
    </row>
    <row r="46" spans="2:14" x14ac:dyDescent="0.25">
      <c r="B46" s="3">
        <v>46032</v>
      </c>
      <c r="C46" s="1" t="s">
        <v>9</v>
      </c>
      <c r="D46" s="1" t="s">
        <v>13</v>
      </c>
      <c r="E46" s="1" t="s">
        <v>18</v>
      </c>
      <c r="F46" s="1">
        <v>250</v>
      </c>
      <c r="I46" s="1">
        <v>25</v>
      </c>
      <c r="J46" s="1">
        <v>14</v>
      </c>
      <c r="K46" s="1">
        <v>125</v>
      </c>
    </row>
    <row r="47" spans="2:14" x14ac:dyDescent="0.25">
      <c r="B47" s="3">
        <v>46033</v>
      </c>
      <c r="C47" s="1" t="s">
        <v>9</v>
      </c>
      <c r="D47" s="1" t="s">
        <v>12</v>
      </c>
      <c r="E47" s="1" t="s">
        <v>18</v>
      </c>
      <c r="F47" s="1">
        <v>200</v>
      </c>
      <c r="I47" s="1">
        <v>20</v>
      </c>
      <c r="J47" s="1">
        <v>16</v>
      </c>
      <c r="K47" s="1">
        <v>100</v>
      </c>
    </row>
    <row r="48" spans="2:14" hidden="1" x14ac:dyDescent="0.25">
      <c r="B48" s="3">
        <v>46033</v>
      </c>
      <c r="C48" s="1" t="s">
        <v>11</v>
      </c>
      <c r="D48" s="1" t="s">
        <v>17</v>
      </c>
      <c r="E48" s="1" t="s">
        <v>18</v>
      </c>
      <c r="F48" s="1">
        <v>600</v>
      </c>
      <c r="I48" s="1">
        <v>60</v>
      </c>
      <c r="J48" s="1">
        <v>16</v>
      </c>
      <c r="K48" s="1">
        <v>300</v>
      </c>
    </row>
    <row r="49" spans="2:11" hidden="1" x14ac:dyDescent="0.25">
      <c r="B49" s="3">
        <v>46034</v>
      </c>
      <c r="C49" s="1" t="s">
        <v>11</v>
      </c>
      <c r="D49" s="1" t="s">
        <v>16</v>
      </c>
      <c r="E49" s="1" t="s">
        <v>18</v>
      </c>
      <c r="F49" s="1">
        <v>400</v>
      </c>
      <c r="I49" s="1">
        <v>40</v>
      </c>
      <c r="J49" s="1">
        <v>10</v>
      </c>
      <c r="K49" s="1">
        <v>200</v>
      </c>
    </row>
    <row r="50" spans="2:11" hidden="1" x14ac:dyDescent="0.25">
      <c r="B50" s="3">
        <v>46034</v>
      </c>
      <c r="C50" s="1" t="s">
        <v>10</v>
      </c>
      <c r="D50" s="1" t="s">
        <v>14</v>
      </c>
      <c r="E50" s="1" t="s">
        <v>18</v>
      </c>
      <c r="F50" s="1">
        <v>300</v>
      </c>
      <c r="I50" s="1">
        <v>30</v>
      </c>
      <c r="J50" s="1">
        <v>16</v>
      </c>
      <c r="K50" s="1">
        <v>150</v>
      </c>
    </row>
    <row r="51" spans="2:11" hidden="1" x14ac:dyDescent="0.25">
      <c r="B51" s="3">
        <v>46034</v>
      </c>
      <c r="C51" s="1" t="s">
        <v>10</v>
      </c>
      <c r="D51" s="1" t="s">
        <v>15</v>
      </c>
      <c r="E51" s="1" t="s">
        <v>18</v>
      </c>
      <c r="F51" s="1">
        <v>350</v>
      </c>
      <c r="I51" s="1">
        <v>35</v>
      </c>
      <c r="J51" s="1">
        <v>12</v>
      </c>
      <c r="K51" s="1">
        <v>175</v>
      </c>
    </row>
    <row r="52" spans="2:11" hidden="1" x14ac:dyDescent="0.25">
      <c r="B52" s="3">
        <v>46034</v>
      </c>
      <c r="C52" s="1" t="s">
        <v>11</v>
      </c>
      <c r="D52" s="1" t="s">
        <v>17</v>
      </c>
      <c r="E52" s="1" t="s">
        <v>18</v>
      </c>
      <c r="F52" s="1">
        <v>600</v>
      </c>
      <c r="I52" s="1">
        <v>60</v>
      </c>
      <c r="J52" s="1">
        <v>12</v>
      </c>
      <c r="K52" s="1">
        <v>300</v>
      </c>
    </row>
    <row r="53" spans="2:11" hidden="1" x14ac:dyDescent="0.25">
      <c r="B53" s="3">
        <v>46034</v>
      </c>
      <c r="C53" s="1" t="s">
        <v>10</v>
      </c>
      <c r="D53" s="1" t="s">
        <v>15</v>
      </c>
      <c r="E53" s="1" t="s">
        <v>18</v>
      </c>
      <c r="F53" s="1">
        <v>350</v>
      </c>
      <c r="I53" s="1">
        <v>35</v>
      </c>
      <c r="J53" s="1">
        <v>17</v>
      </c>
      <c r="K53" s="1">
        <v>0</v>
      </c>
    </row>
    <row r="54" spans="2:11" x14ac:dyDescent="0.25">
      <c r="B54" s="3">
        <v>46034</v>
      </c>
      <c r="C54" s="1" t="s">
        <v>9</v>
      </c>
      <c r="D54" s="1" t="s">
        <v>13</v>
      </c>
      <c r="E54" s="1" t="s">
        <v>19</v>
      </c>
      <c r="F54" s="1">
        <v>250</v>
      </c>
      <c r="G54" s="3">
        <v>46039</v>
      </c>
      <c r="H54" s="1">
        <v>200</v>
      </c>
      <c r="I54" s="1">
        <v>25</v>
      </c>
      <c r="J54" s="1">
        <v>18</v>
      </c>
      <c r="K54" s="1">
        <v>125</v>
      </c>
    </row>
    <row r="55" spans="2:11" hidden="1" x14ac:dyDescent="0.25">
      <c r="B55" s="3">
        <v>46035</v>
      </c>
      <c r="C55" s="1" t="s">
        <v>10</v>
      </c>
      <c r="D55" s="1" t="s">
        <v>14</v>
      </c>
      <c r="E55" s="1" t="s">
        <v>19</v>
      </c>
      <c r="F55" s="1">
        <v>300</v>
      </c>
      <c r="G55" s="3">
        <v>46035</v>
      </c>
      <c r="H55" s="1">
        <v>150</v>
      </c>
      <c r="I55" s="1">
        <v>30</v>
      </c>
      <c r="J55" s="1">
        <v>15</v>
      </c>
      <c r="K55" s="1">
        <v>150</v>
      </c>
    </row>
    <row r="56" spans="2:11" hidden="1" x14ac:dyDescent="0.25">
      <c r="B56" s="3">
        <v>46035</v>
      </c>
      <c r="C56" s="1" t="s">
        <v>10</v>
      </c>
      <c r="D56" s="1" t="s">
        <v>14</v>
      </c>
      <c r="E56" s="1" t="s">
        <v>18</v>
      </c>
      <c r="F56" s="1">
        <v>300</v>
      </c>
      <c r="I56" s="1">
        <v>30</v>
      </c>
      <c r="J56" s="1">
        <v>13</v>
      </c>
      <c r="K56" s="1">
        <v>0</v>
      </c>
    </row>
    <row r="57" spans="2:11" x14ac:dyDescent="0.25">
      <c r="B57" s="3">
        <v>46035</v>
      </c>
      <c r="C57" s="1" t="s">
        <v>9</v>
      </c>
      <c r="D57" s="1" t="s">
        <v>13</v>
      </c>
      <c r="E57" s="1" t="s">
        <v>18</v>
      </c>
      <c r="F57" s="1">
        <v>250</v>
      </c>
      <c r="I57" s="1">
        <v>25</v>
      </c>
      <c r="J57" s="1">
        <v>12</v>
      </c>
      <c r="K57" s="1">
        <v>125</v>
      </c>
    </row>
    <row r="58" spans="2:11" hidden="1" x14ac:dyDescent="0.25">
      <c r="B58" s="3">
        <v>46035</v>
      </c>
      <c r="C58" s="1" t="s">
        <v>11</v>
      </c>
      <c r="D58" s="1" t="s">
        <v>17</v>
      </c>
      <c r="E58" s="1" t="s">
        <v>18</v>
      </c>
      <c r="F58" s="1">
        <v>600</v>
      </c>
      <c r="I58" s="1">
        <v>60</v>
      </c>
      <c r="J58" s="1">
        <v>10</v>
      </c>
      <c r="K58" s="1">
        <v>300</v>
      </c>
    </row>
    <row r="59" spans="2:11" hidden="1" x14ac:dyDescent="0.25">
      <c r="B59" s="3">
        <v>46035</v>
      </c>
      <c r="C59" s="1" t="s">
        <v>11</v>
      </c>
      <c r="D59" s="1" t="s">
        <v>16</v>
      </c>
      <c r="E59" s="1" t="s">
        <v>19</v>
      </c>
      <c r="F59" s="1">
        <v>400</v>
      </c>
      <c r="G59" s="3">
        <v>46035</v>
      </c>
      <c r="H59" s="1">
        <v>140</v>
      </c>
      <c r="I59" s="1">
        <v>40</v>
      </c>
      <c r="J59" s="1">
        <v>15</v>
      </c>
      <c r="K59" s="1">
        <v>200</v>
      </c>
    </row>
    <row r="60" spans="2:11" x14ac:dyDescent="0.25">
      <c r="B60" s="3">
        <v>46035</v>
      </c>
      <c r="C60" s="1" t="s">
        <v>9</v>
      </c>
      <c r="D60" s="1" t="s">
        <v>13</v>
      </c>
      <c r="E60" s="1" t="s">
        <v>18</v>
      </c>
      <c r="F60" s="1">
        <v>250</v>
      </c>
      <c r="I60" s="1">
        <v>25</v>
      </c>
      <c r="J60" s="1">
        <v>15</v>
      </c>
      <c r="K60" s="1">
        <v>125</v>
      </c>
    </row>
    <row r="61" spans="2:11" hidden="1" x14ac:dyDescent="0.25">
      <c r="B61" s="3">
        <v>46035</v>
      </c>
      <c r="C61" s="1" t="s">
        <v>10</v>
      </c>
      <c r="D61" s="1" t="s">
        <v>14</v>
      </c>
      <c r="E61" s="1" t="s">
        <v>19</v>
      </c>
      <c r="F61" s="1">
        <v>300</v>
      </c>
      <c r="G61" s="3">
        <v>46036</v>
      </c>
      <c r="H61" s="1">
        <v>300</v>
      </c>
      <c r="I61" s="1">
        <v>30</v>
      </c>
      <c r="J61" s="1">
        <v>20</v>
      </c>
      <c r="K61" s="1">
        <v>0</v>
      </c>
    </row>
    <row r="62" spans="2:11" hidden="1" x14ac:dyDescent="0.25">
      <c r="B62" s="3">
        <v>46035</v>
      </c>
      <c r="C62" s="1" t="s">
        <v>10</v>
      </c>
      <c r="D62" s="1" t="s">
        <v>15</v>
      </c>
      <c r="E62" s="1" t="s">
        <v>18</v>
      </c>
      <c r="F62" s="1">
        <v>350</v>
      </c>
      <c r="I62" s="1">
        <v>35</v>
      </c>
      <c r="J62" s="1">
        <v>11</v>
      </c>
      <c r="K62" s="1">
        <v>175</v>
      </c>
    </row>
    <row r="63" spans="2:11" x14ac:dyDescent="0.25">
      <c r="B63" s="3">
        <v>46035</v>
      </c>
      <c r="C63" s="1" t="s">
        <v>9</v>
      </c>
      <c r="D63" s="1" t="s">
        <v>12</v>
      </c>
      <c r="E63" s="1" t="s">
        <v>18</v>
      </c>
      <c r="F63" s="1">
        <v>200</v>
      </c>
      <c r="I63" s="1">
        <v>20</v>
      </c>
      <c r="J63" s="1">
        <v>13</v>
      </c>
      <c r="K63" s="1">
        <v>100</v>
      </c>
    </row>
    <row r="64" spans="2:11" hidden="1" x14ac:dyDescent="0.25">
      <c r="B64" s="3">
        <v>46035</v>
      </c>
      <c r="C64" s="1" t="s">
        <v>11</v>
      </c>
      <c r="D64" s="1" t="s">
        <v>16</v>
      </c>
      <c r="E64" s="1" t="s">
        <v>19</v>
      </c>
      <c r="F64" s="1">
        <v>400</v>
      </c>
      <c r="G64" s="3">
        <v>46040</v>
      </c>
      <c r="H64" s="1">
        <v>275</v>
      </c>
      <c r="I64" s="1">
        <v>40</v>
      </c>
      <c r="J64" s="1">
        <v>17</v>
      </c>
      <c r="K64" s="1">
        <v>175</v>
      </c>
    </row>
    <row r="65" spans="2:11" x14ac:dyDescent="0.25">
      <c r="B65" s="3">
        <v>46036</v>
      </c>
      <c r="C65" s="1" t="s">
        <v>9</v>
      </c>
      <c r="D65" s="1" t="s">
        <v>12</v>
      </c>
      <c r="E65" s="1" t="s">
        <v>18</v>
      </c>
      <c r="F65" s="1">
        <v>200</v>
      </c>
      <c r="I65" s="1">
        <v>20</v>
      </c>
      <c r="J65" s="1">
        <v>14</v>
      </c>
      <c r="K65" s="1">
        <v>100</v>
      </c>
    </row>
    <row r="66" spans="2:11" hidden="1" x14ac:dyDescent="0.25">
      <c r="B66" s="3">
        <v>46036</v>
      </c>
      <c r="C66" s="1" t="s">
        <v>11</v>
      </c>
      <c r="D66" s="1" t="s">
        <v>16</v>
      </c>
      <c r="E66" s="1" t="s">
        <v>18</v>
      </c>
      <c r="F66" s="1">
        <v>400</v>
      </c>
      <c r="I66" s="1">
        <v>40</v>
      </c>
      <c r="J66" s="1">
        <v>14</v>
      </c>
      <c r="K66" s="1">
        <v>0</v>
      </c>
    </row>
    <row r="67" spans="2:11" hidden="1" x14ac:dyDescent="0.25">
      <c r="B67" s="3">
        <v>46036</v>
      </c>
      <c r="C67" s="1" t="s">
        <v>11</v>
      </c>
      <c r="D67" s="1" t="s">
        <v>16</v>
      </c>
      <c r="E67" s="1" t="s">
        <v>18</v>
      </c>
      <c r="F67" s="1">
        <v>400</v>
      </c>
      <c r="I67" s="1">
        <v>40</v>
      </c>
      <c r="J67" s="1">
        <v>11</v>
      </c>
      <c r="K67" s="1">
        <v>200</v>
      </c>
    </row>
    <row r="68" spans="2:11" hidden="1" x14ac:dyDescent="0.25">
      <c r="B68" s="3">
        <v>46036</v>
      </c>
      <c r="C68" s="1" t="s">
        <v>11</v>
      </c>
      <c r="D68" s="1" t="s">
        <v>16</v>
      </c>
      <c r="E68" s="1" t="s">
        <v>18</v>
      </c>
      <c r="F68" s="1">
        <v>400</v>
      </c>
      <c r="I68" s="1">
        <v>40</v>
      </c>
      <c r="J68" s="1">
        <v>20</v>
      </c>
      <c r="K68" s="1">
        <v>200</v>
      </c>
    </row>
    <row r="69" spans="2:11" x14ac:dyDescent="0.25">
      <c r="B69" s="3">
        <v>46036</v>
      </c>
      <c r="C69" s="1" t="s">
        <v>9</v>
      </c>
      <c r="D69" s="1" t="s">
        <v>12</v>
      </c>
      <c r="E69" s="1" t="s">
        <v>18</v>
      </c>
      <c r="F69" s="1">
        <v>200</v>
      </c>
      <c r="I69" s="1">
        <v>20</v>
      </c>
      <c r="J69" s="1">
        <v>11</v>
      </c>
      <c r="K69" s="1">
        <v>0</v>
      </c>
    </row>
    <row r="70" spans="2:11" hidden="1" x14ac:dyDescent="0.25">
      <c r="B70" s="3">
        <v>46036</v>
      </c>
      <c r="C70" s="1" t="s">
        <v>11</v>
      </c>
      <c r="D70" s="1" t="s">
        <v>16</v>
      </c>
      <c r="E70" s="1" t="s">
        <v>18</v>
      </c>
      <c r="F70" s="1">
        <v>400</v>
      </c>
      <c r="I70" s="1">
        <v>40</v>
      </c>
      <c r="J70" s="1">
        <v>10</v>
      </c>
      <c r="K70" s="1">
        <v>200</v>
      </c>
    </row>
    <row r="71" spans="2:11" hidden="1" x14ac:dyDescent="0.25">
      <c r="B71" s="3">
        <v>46036</v>
      </c>
      <c r="C71" s="1" t="s">
        <v>10</v>
      </c>
      <c r="D71" s="1" t="s">
        <v>14</v>
      </c>
      <c r="E71" s="1" t="s">
        <v>18</v>
      </c>
      <c r="F71" s="1">
        <v>300</v>
      </c>
      <c r="I71" s="1">
        <v>30</v>
      </c>
      <c r="J71" s="1">
        <v>20</v>
      </c>
      <c r="K71" s="1">
        <v>0</v>
      </c>
    </row>
    <row r="72" spans="2:11" hidden="1" x14ac:dyDescent="0.25">
      <c r="B72" s="3">
        <v>46037</v>
      </c>
      <c r="C72" s="1" t="s">
        <v>10</v>
      </c>
      <c r="D72" s="1" t="s">
        <v>14</v>
      </c>
      <c r="E72" s="1" t="s">
        <v>19</v>
      </c>
      <c r="F72" s="1">
        <v>300</v>
      </c>
      <c r="G72" s="3">
        <v>46051</v>
      </c>
      <c r="H72" s="1">
        <v>300</v>
      </c>
      <c r="I72" s="1">
        <v>30</v>
      </c>
      <c r="J72" s="1">
        <v>15</v>
      </c>
      <c r="K72" s="1">
        <v>150</v>
      </c>
    </row>
    <row r="73" spans="2:11" hidden="1" x14ac:dyDescent="0.25">
      <c r="B73" s="3">
        <v>46037</v>
      </c>
      <c r="C73" s="1" t="s">
        <v>11</v>
      </c>
      <c r="D73" s="1" t="s">
        <v>17</v>
      </c>
      <c r="E73" s="1" t="s">
        <v>18</v>
      </c>
      <c r="F73" s="1">
        <v>600</v>
      </c>
      <c r="I73" s="1">
        <v>60</v>
      </c>
      <c r="J73" s="1">
        <v>12</v>
      </c>
      <c r="K73" s="1">
        <v>300</v>
      </c>
    </row>
    <row r="74" spans="2:11" hidden="1" x14ac:dyDescent="0.25">
      <c r="B74" s="3">
        <v>46037</v>
      </c>
      <c r="C74" s="1" t="s">
        <v>11</v>
      </c>
      <c r="D74" s="1" t="s">
        <v>17</v>
      </c>
      <c r="E74" s="1" t="s">
        <v>18</v>
      </c>
      <c r="F74" s="1">
        <v>600</v>
      </c>
      <c r="I74" s="1">
        <v>60</v>
      </c>
      <c r="J74" s="1">
        <v>10</v>
      </c>
      <c r="K74" s="1">
        <v>300</v>
      </c>
    </row>
    <row r="75" spans="2:11" hidden="1" x14ac:dyDescent="0.25">
      <c r="B75" s="3">
        <v>46037</v>
      </c>
      <c r="C75" s="1" t="s">
        <v>10</v>
      </c>
      <c r="D75" s="1" t="s">
        <v>15</v>
      </c>
      <c r="E75" s="1" t="s">
        <v>19</v>
      </c>
      <c r="F75" s="1">
        <v>350</v>
      </c>
      <c r="G75" s="3">
        <v>46037</v>
      </c>
      <c r="H75" s="1">
        <v>200</v>
      </c>
      <c r="I75" s="1">
        <v>35</v>
      </c>
      <c r="J75" s="1">
        <v>16</v>
      </c>
      <c r="K75" s="1">
        <v>175</v>
      </c>
    </row>
    <row r="76" spans="2:11" hidden="1" x14ac:dyDescent="0.25">
      <c r="B76" s="3">
        <v>46038</v>
      </c>
      <c r="C76" s="1" t="s">
        <v>10</v>
      </c>
      <c r="D76" s="1" t="s">
        <v>14</v>
      </c>
      <c r="E76" s="1" t="s">
        <v>19</v>
      </c>
      <c r="F76" s="1">
        <v>300</v>
      </c>
      <c r="G76" s="3">
        <v>46042</v>
      </c>
      <c r="H76" s="1">
        <v>200</v>
      </c>
      <c r="I76" s="1">
        <v>30</v>
      </c>
      <c r="J76" s="1">
        <v>12</v>
      </c>
      <c r="K76" s="1">
        <v>150</v>
      </c>
    </row>
    <row r="77" spans="2:11" x14ac:dyDescent="0.25">
      <c r="B77" s="3">
        <v>46038</v>
      </c>
      <c r="C77" s="1" t="s">
        <v>9</v>
      </c>
      <c r="D77" s="1" t="s">
        <v>13</v>
      </c>
      <c r="E77" s="1" t="s">
        <v>18</v>
      </c>
      <c r="F77" s="1">
        <v>250</v>
      </c>
      <c r="I77" s="1">
        <v>25</v>
      </c>
      <c r="J77" s="1">
        <v>13</v>
      </c>
      <c r="K77" s="1">
        <v>0</v>
      </c>
    </row>
    <row r="78" spans="2:11" hidden="1" x14ac:dyDescent="0.25">
      <c r="B78" s="3">
        <v>46038</v>
      </c>
      <c r="C78" s="1" t="s">
        <v>11</v>
      </c>
      <c r="D78" s="1" t="s">
        <v>17</v>
      </c>
      <c r="E78" s="1" t="s">
        <v>18</v>
      </c>
      <c r="F78" s="1">
        <v>600</v>
      </c>
      <c r="I78" s="1">
        <v>60</v>
      </c>
      <c r="J78" s="1">
        <v>15</v>
      </c>
      <c r="K78" s="1">
        <v>300</v>
      </c>
    </row>
    <row r="79" spans="2:11" x14ac:dyDescent="0.25">
      <c r="B79" s="3">
        <v>46038</v>
      </c>
      <c r="C79" s="1" t="s">
        <v>9</v>
      </c>
      <c r="D79" s="1" t="s">
        <v>13</v>
      </c>
      <c r="E79" s="1" t="s">
        <v>18</v>
      </c>
      <c r="F79" s="1">
        <v>250</v>
      </c>
      <c r="I79" s="1">
        <v>25</v>
      </c>
      <c r="J79" s="1">
        <v>17</v>
      </c>
      <c r="K79" s="1">
        <v>125</v>
      </c>
    </row>
    <row r="80" spans="2:11" hidden="1" x14ac:dyDescent="0.25">
      <c r="B80" s="3">
        <v>46038</v>
      </c>
      <c r="C80" s="1" t="s">
        <v>11</v>
      </c>
      <c r="D80" s="1" t="s">
        <v>17</v>
      </c>
      <c r="E80" s="1" t="s">
        <v>18</v>
      </c>
      <c r="F80" s="1">
        <v>600</v>
      </c>
      <c r="I80" s="1">
        <v>60</v>
      </c>
      <c r="J80" s="1">
        <v>17</v>
      </c>
      <c r="K80" s="1">
        <v>300</v>
      </c>
    </row>
    <row r="81" spans="2:11" x14ac:dyDescent="0.25">
      <c r="B81" s="3">
        <v>46039</v>
      </c>
      <c r="C81" s="1" t="s">
        <v>9</v>
      </c>
      <c r="D81" s="1" t="s">
        <v>13</v>
      </c>
      <c r="E81" s="1" t="s">
        <v>19</v>
      </c>
      <c r="F81" s="1">
        <v>250</v>
      </c>
      <c r="G81" s="3">
        <v>46041</v>
      </c>
      <c r="H81" s="1">
        <v>250</v>
      </c>
      <c r="I81" s="1">
        <v>25</v>
      </c>
      <c r="J81" s="1">
        <v>12</v>
      </c>
      <c r="K81" s="1">
        <v>125</v>
      </c>
    </row>
    <row r="82" spans="2:11" hidden="1" x14ac:dyDescent="0.25">
      <c r="B82" s="3">
        <v>46039</v>
      </c>
      <c r="C82" s="1" t="s">
        <v>10</v>
      </c>
      <c r="D82" s="1" t="s">
        <v>14</v>
      </c>
      <c r="E82" s="1" t="s">
        <v>18</v>
      </c>
      <c r="F82" s="1">
        <v>300</v>
      </c>
      <c r="I82" s="1">
        <v>30</v>
      </c>
      <c r="J82" s="1">
        <v>20</v>
      </c>
      <c r="K82" s="1">
        <v>0</v>
      </c>
    </row>
    <row r="83" spans="2:11" hidden="1" x14ac:dyDescent="0.25">
      <c r="B83" s="3">
        <v>46039</v>
      </c>
      <c r="C83" s="1" t="s">
        <v>10</v>
      </c>
      <c r="D83" s="1" t="s">
        <v>15</v>
      </c>
      <c r="E83" s="1" t="s">
        <v>18</v>
      </c>
      <c r="F83" s="1">
        <v>350</v>
      </c>
      <c r="I83" s="1">
        <v>35</v>
      </c>
      <c r="J83" s="1">
        <v>11</v>
      </c>
      <c r="K83" s="1">
        <v>175</v>
      </c>
    </row>
    <row r="84" spans="2:11" hidden="1" x14ac:dyDescent="0.25">
      <c r="B84" s="3">
        <v>46039</v>
      </c>
      <c r="C84" s="1" t="s">
        <v>11</v>
      </c>
      <c r="D84" s="1" t="s">
        <v>16</v>
      </c>
      <c r="E84" s="1" t="s">
        <v>18</v>
      </c>
      <c r="F84" s="1">
        <v>400</v>
      </c>
      <c r="I84" s="1">
        <v>40</v>
      </c>
      <c r="J84" s="1">
        <v>13</v>
      </c>
      <c r="K84" s="1">
        <v>200</v>
      </c>
    </row>
    <row r="85" spans="2:11" hidden="1" x14ac:dyDescent="0.25">
      <c r="B85" s="3">
        <v>46039</v>
      </c>
      <c r="C85" s="1" t="s">
        <v>11</v>
      </c>
      <c r="D85" s="1" t="s">
        <v>16</v>
      </c>
      <c r="E85" s="1" t="s">
        <v>18</v>
      </c>
      <c r="F85" s="1">
        <v>400</v>
      </c>
      <c r="I85" s="1">
        <v>40</v>
      </c>
      <c r="J85" s="1">
        <v>18</v>
      </c>
      <c r="K85" s="1">
        <v>200</v>
      </c>
    </row>
    <row r="86" spans="2:11" hidden="1" x14ac:dyDescent="0.25">
      <c r="B86" s="3">
        <v>46039</v>
      </c>
      <c r="C86" s="1" t="s">
        <v>10</v>
      </c>
      <c r="D86" s="1" t="s">
        <v>15</v>
      </c>
      <c r="E86" s="1" t="s">
        <v>18</v>
      </c>
      <c r="F86" s="1">
        <v>350</v>
      </c>
      <c r="I86" s="1">
        <v>35</v>
      </c>
      <c r="J86" s="1">
        <v>17</v>
      </c>
      <c r="K86" s="1">
        <v>175</v>
      </c>
    </row>
    <row r="87" spans="2:11" hidden="1" x14ac:dyDescent="0.25">
      <c r="B87" s="3">
        <v>46040</v>
      </c>
      <c r="C87" s="1" t="s">
        <v>10</v>
      </c>
      <c r="D87" s="1" t="s">
        <v>14</v>
      </c>
      <c r="E87" s="1" t="s">
        <v>18</v>
      </c>
      <c r="F87" s="1">
        <v>300</v>
      </c>
      <c r="I87" s="1">
        <v>30</v>
      </c>
      <c r="J87" s="1">
        <v>15</v>
      </c>
      <c r="K87" s="1">
        <v>150</v>
      </c>
    </row>
    <row r="88" spans="2:11" hidden="1" x14ac:dyDescent="0.25">
      <c r="B88" s="3">
        <v>46040</v>
      </c>
      <c r="C88" s="1" t="s">
        <v>10</v>
      </c>
      <c r="D88" s="1" t="s">
        <v>14</v>
      </c>
      <c r="E88" s="1" t="s">
        <v>19</v>
      </c>
      <c r="F88" s="1">
        <v>300</v>
      </c>
      <c r="G88" s="3">
        <v>46040</v>
      </c>
      <c r="H88" s="1">
        <v>150</v>
      </c>
      <c r="I88" s="1">
        <v>30</v>
      </c>
      <c r="J88" s="1">
        <v>14</v>
      </c>
      <c r="K88" s="1">
        <v>0</v>
      </c>
    </row>
    <row r="89" spans="2:11" x14ac:dyDescent="0.25">
      <c r="B89" s="3">
        <v>46040</v>
      </c>
      <c r="C89" s="1" t="s">
        <v>9</v>
      </c>
      <c r="D89" s="1" t="s">
        <v>12</v>
      </c>
      <c r="E89" s="1" t="s">
        <v>18</v>
      </c>
      <c r="F89" s="1">
        <v>200</v>
      </c>
      <c r="I89" s="1">
        <v>20</v>
      </c>
      <c r="J89" s="1">
        <v>10</v>
      </c>
      <c r="K89" s="1">
        <v>100</v>
      </c>
    </row>
    <row r="90" spans="2:11" hidden="1" x14ac:dyDescent="0.25">
      <c r="B90" s="3">
        <v>46041</v>
      </c>
      <c r="C90" s="1" t="s">
        <v>10</v>
      </c>
      <c r="D90" s="1" t="s">
        <v>15</v>
      </c>
      <c r="E90" s="1" t="s">
        <v>18</v>
      </c>
      <c r="F90" s="1">
        <v>350</v>
      </c>
      <c r="I90" s="1">
        <v>35</v>
      </c>
      <c r="J90" s="1">
        <v>20</v>
      </c>
      <c r="K90" s="1">
        <v>0</v>
      </c>
    </row>
    <row r="91" spans="2:11" hidden="1" x14ac:dyDescent="0.25">
      <c r="B91" s="3">
        <v>46041</v>
      </c>
      <c r="C91" s="1" t="s">
        <v>10</v>
      </c>
      <c r="D91" s="1" t="s">
        <v>14</v>
      </c>
      <c r="E91" s="1" t="s">
        <v>18</v>
      </c>
      <c r="F91" s="1">
        <v>300</v>
      </c>
      <c r="I91" s="1">
        <v>30</v>
      </c>
      <c r="J91" s="1">
        <v>16</v>
      </c>
      <c r="K91" s="1">
        <v>150</v>
      </c>
    </row>
    <row r="92" spans="2:11" hidden="1" x14ac:dyDescent="0.25">
      <c r="B92" s="3">
        <v>46041</v>
      </c>
      <c r="C92" s="1" t="s">
        <v>11</v>
      </c>
      <c r="D92" s="1" t="s">
        <v>16</v>
      </c>
      <c r="E92" s="1" t="s">
        <v>19</v>
      </c>
      <c r="F92" s="1">
        <v>400</v>
      </c>
      <c r="G92" s="3">
        <v>46046</v>
      </c>
      <c r="H92" s="1">
        <v>100</v>
      </c>
      <c r="I92" s="1">
        <v>40</v>
      </c>
      <c r="J92" s="1">
        <v>18</v>
      </c>
      <c r="K92" s="1">
        <v>200</v>
      </c>
    </row>
    <row r="93" spans="2:11" hidden="1" x14ac:dyDescent="0.25">
      <c r="B93" s="3">
        <v>46041</v>
      </c>
      <c r="C93" s="1" t="s">
        <v>10</v>
      </c>
      <c r="D93" s="1" t="s">
        <v>15</v>
      </c>
      <c r="E93" s="1" t="s">
        <v>18</v>
      </c>
      <c r="F93" s="1">
        <v>350</v>
      </c>
      <c r="I93" s="1">
        <v>35</v>
      </c>
      <c r="J93" s="1">
        <v>18</v>
      </c>
      <c r="K93" s="1">
        <v>175</v>
      </c>
    </row>
    <row r="94" spans="2:11" hidden="1" x14ac:dyDescent="0.25">
      <c r="B94" s="3">
        <v>46041</v>
      </c>
      <c r="C94" s="1" t="s">
        <v>10</v>
      </c>
      <c r="D94" s="1" t="s">
        <v>14</v>
      </c>
      <c r="E94" s="1" t="s">
        <v>18</v>
      </c>
      <c r="F94" s="1">
        <v>300</v>
      </c>
      <c r="I94" s="1">
        <v>30</v>
      </c>
      <c r="J94" s="1">
        <v>13</v>
      </c>
      <c r="K94" s="1">
        <v>150</v>
      </c>
    </row>
    <row r="95" spans="2:11" x14ac:dyDescent="0.25">
      <c r="B95" s="3">
        <v>46041</v>
      </c>
      <c r="C95" s="1" t="s">
        <v>9</v>
      </c>
      <c r="D95" s="1" t="s">
        <v>12</v>
      </c>
      <c r="E95" s="1" t="s">
        <v>18</v>
      </c>
      <c r="F95" s="1">
        <v>200</v>
      </c>
      <c r="I95" s="1">
        <v>20</v>
      </c>
      <c r="J95" s="1">
        <v>14</v>
      </c>
      <c r="K95" s="1">
        <v>150</v>
      </c>
    </row>
    <row r="96" spans="2:11" hidden="1" x14ac:dyDescent="0.25">
      <c r="B96" s="3">
        <v>46042</v>
      </c>
      <c r="C96" s="1" t="s">
        <v>11</v>
      </c>
      <c r="D96" s="1" t="s">
        <v>17</v>
      </c>
      <c r="E96" s="1" t="s">
        <v>18</v>
      </c>
      <c r="F96" s="1">
        <v>600</v>
      </c>
      <c r="I96" s="1">
        <v>60</v>
      </c>
      <c r="J96" s="1">
        <v>13</v>
      </c>
      <c r="K96" s="1">
        <v>300</v>
      </c>
    </row>
    <row r="97" spans="2:11" hidden="1" x14ac:dyDescent="0.25">
      <c r="B97" s="3">
        <v>46042</v>
      </c>
      <c r="C97" s="1" t="s">
        <v>11</v>
      </c>
      <c r="D97" s="1" t="s">
        <v>16</v>
      </c>
      <c r="E97" s="1" t="s">
        <v>19</v>
      </c>
      <c r="F97" s="1">
        <v>400</v>
      </c>
      <c r="G97" s="3">
        <v>46048</v>
      </c>
      <c r="H97" s="1">
        <v>175</v>
      </c>
      <c r="I97" s="1">
        <v>40</v>
      </c>
      <c r="J97" s="1">
        <v>19</v>
      </c>
      <c r="K97" s="1">
        <v>200</v>
      </c>
    </row>
    <row r="98" spans="2:11" x14ac:dyDescent="0.25">
      <c r="B98" s="3">
        <v>46042</v>
      </c>
      <c r="C98" s="1" t="s">
        <v>9</v>
      </c>
      <c r="D98" s="1" t="s">
        <v>13</v>
      </c>
      <c r="E98" s="1" t="s">
        <v>18</v>
      </c>
      <c r="F98" s="1">
        <v>250</v>
      </c>
      <c r="I98" s="1">
        <v>25</v>
      </c>
      <c r="J98" s="1">
        <v>20</v>
      </c>
      <c r="K98" s="1">
        <v>125</v>
      </c>
    </row>
    <row r="99" spans="2:11" x14ac:dyDescent="0.25">
      <c r="B99" s="3">
        <v>46042</v>
      </c>
      <c r="C99" s="1" t="s">
        <v>9</v>
      </c>
      <c r="D99" s="1" t="s">
        <v>13</v>
      </c>
      <c r="E99" s="1" t="s">
        <v>18</v>
      </c>
      <c r="F99" s="1">
        <v>250</v>
      </c>
      <c r="I99" s="1">
        <v>25</v>
      </c>
      <c r="J99" s="1">
        <v>18</v>
      </c>
      <c r="K99" s="1">
        <v>125</v>
      </c>
    </row>
    <row r="100" spans="2:11" x14ac:dyDescent="0.25">
      <c r="B100" s="3">
        <v>46042</v>
      </c>
      <c r="C100" s="1" t="s">
        <v>9</v>
      </c>
      <c r="D100" s="1" t="s">
        <v>13</v>
      </c>
      <c r="E100" s="1" t="s">
        <v>18</v>
      </c>
      <c r="F100" s="1">
        <v>250</v>
      </c>
      <c r="I100" s="1">
        <v>25</v>
      </c>
      <c r="J100" s="1">
        <v>12</v>
      </c>
      <c r="K100" s="1">
        <v>0</v>
      </c>
    </row>
    <row r="101" spans="2:11" hidden="1" x14ac:dyDescent="0.25">
      <c r="B101" s="3">
        <v>46042</v>
      </c>
      <c r="C101" s="1" t="s">
        <v>11</v>
      </c>
      <c r="D101" s="1" t="s">
        <v>16</v>
      </c>
      <c r="E101" s="1" t="s">
        <v>18</v>
      </c>
      <c r="F101" s="1">
        <v>400</v>
      </c>
      <c r="I101" s="1">
        <v>40</v>
      </c>
      <c r="J101" s="1">
        <v>18</v>
      </c>
      <c r="K101" s="1">
        <v>200</v>
      </c>
    </row>
    <row r="102" spans="2:11" hidden="1" x14ac:dyDescent="0.25">
      <c r="B102" s="3">
        <v>46042</v>
      </c>
      <c r="C102" s="1" t="s">
        <v>10</v>
      </c>
      <c r="D102" s="1" t="s">
        <v>14</v>
      </c>
      <c r="E102" s="1" t="s">
        <v>19</v>
      </c>
      <c r="F102" s="1">
        <v>300</v>
      </c>
      <c r="G102" s="3">
        <v>46045</v>
      </c>
      <c r="H102" s="1">
        <v>250</v>
      </c>
      <c r="I102" s="1">
        <v>30</v>
      </c>
      <c r="J102" s="1">
        <v>15</v>
      </c>
      <c r="K102" s="1">
        <v>150</v>
      </c>
    </row>
    <row r="103" spans="2:11" hidden="1" x14ac:dyDescent="0.25">
      <c r="B103" s="3">
        <v>46043</v>
      </c>
      <c r="C103" s="1" t="s">
        <v>11</v>
      </c>
      <c r="D103" s="1" t="s">
        <v>16</v>
      </c>
      <c r="E103" s="1" t="s">
        <v>18</v>
      </c>
      <c r="F103" s="1">
        <v>400</v>
      </c>
      <c r="I103" s="1">
        <v>40</v>
      </c>
      <c r="J103" s="1">
        <v>16</v>
      </c>
      <c r="K103" s="1">
        <v>200</v>
      </c>
    </row>
    <row r="104" spans="2:11" x14ac:dyDescent="0.25">
      <c r="B104" s="3">
        <v>46043</v>
      </c>
      <c r="C104" s="1" t="s">
        <v>9</v>
      </c>
      <c r="D104" s="1" t="s">
        <v>12</v>
      </c>
      <c r="E104" s="1" t="s">
        <v>18</v>
      </c>
      <c r="F104" s="1">
        <v>200</v>
      </c>
      <c r="I104" s="1">
        <v>20</v>
      </c>
      <c r="J104" s="1">
        <v>17</v>
      </c>
      <c r="K104" s="1">
        <v>100</v>
      </c>
    </row>
    <row r="105" spans="2:11" hidden="1" x14ac:dyDescent="0.25">
      <c r="B105" s="3">
        <v>46043</v>
      </c>
      <c r="C105" s="1" t="s">
        <v>10</v>
      </c>
      <c r="D105" s="1" t="s">
        <v>14</v>
      </c>
      <c r="E105" s="1" t="s">
        <v>18</v>
      </c>
      <c r="F105" s="1">
        <v>300</v>
      </c>
      <c r="I105" s="1">
        <v>30</v>
      </c>
      <c r="J105" s="1">
        <v>18</v>
      </c>
      <c r="K105" s="1">
        <v>150</v>
      </c>
    </row>
    <row r="106" spans="2:11" hidden="1" x14ac:dyDescent="0.25">
      <c r="B106" s="3">
        <v>46043</v>
      </c>
      <c r="C106" s="1" t="s">
        <v>10</v>
      </c>
      <c r="D106" s="1" t="s">
        <v>15</v>
      </c>
      <c r="E106" s="1" t="s">
        <v>18</v>
      </c>
      <c r="F106" s="1">
        <v>350</v>
      </c>
      <c r="I106" s="1">
        <v>35</v>
      </c>
      <c r="J106" s="1">
        <v>17</v>
      </c>
      <c r="K106" s="1">
        <v>175</v>
      </c>
    </row>
    <row r="107" spans="2:11" hidden="1" x14ac:dyDescent="0.25">
      <c r="B107" s="3">
        <v>46043</v>
      </c>
      <c r="C107" s="1" t="s">
        <v>11</v>
      </c>
      <c r="D107" s="1" t="s">
        <v>16</v>
      </c>
      <c r="E107" s="1" t="s">
        <v>19</v>
      </c>
      <c r="F107" s="1">
        <v>400</v>
      </c>
      <c r="G107" s="3">
        <v>46052</v>
      </c>
      <c r="H107" s="1">
        <v>350</v>
      </c>
      <c r="I107" s="1">
        <v>40</v>
      </c>
      <c r="J107" s="1">
        <v>13</v>
      </c>
      <c r="K107" s="1">
        <v>0</v>
      </c>
    </row>
    <row r="108" spans="2:11" hidden="1" x14ac:dyDescent="0.25">
      <c r="B108" s="3">
        <v>46044</v>
      </c>
      <c r="C108" s="1" t="s">
        <v>11</v>
      </c>
      <c r="D108" s="1" t="s">
        <v>17</v>
      </c>
      <c r="E108" s="1" t="s">
        <v>18</v>
      </c>
      <c r="F108" s="1">
        <v>600</v>
      </c>
      <c r="I108" s="1">
        <v>60</v>
      </c>
      <c r="J108" s="1">
        <v>10</v>
      </c>
      <c r="K108" s="1">
        <v>300</v>
      </c>
    </row>
    <row r="109" spans="2:11" x14ac:dyDescent="0.25">
      <c r="B109" s="3">
        <v>46044</v>
      </c>
      <c r="C109" s="1" t="s">
        <v>9</v>
      </c>
      <c r="D109" s="1" t="s">
        <v>13</v>
      </c>
      <c r="E109" s="1" t="s">
        <v>18</v>
      </c>
      <c r="F109" s="1">
        <v>250</v>
      </c>
      <c r="I109" s="1">
        <v>25</v>
      </c>
      <c r="J109" s="1">
        <v>14</v>
      </c>
      <c r="K109" s="1">
        <v>0</v>
      </c>
    </row>
    <row r="110" spans="2:11" x14ac:dyDescent="0.25">
      <c r="B110" s="3">
        <v>46044</v>
      </c>
      <c r="C110" s="1" t="s">
        <v>9</v>
      </c>
      <c r="D110" s="1" t="s">
        <v>12</v>
      </c>
      <c r="E110" s="1" t="s">
        <v>18</v>
      </c>
      <c r="F110" s="1">
        <v>200</v>
      </c>
      <c r="I110" s="1">
        <v>20</v>
      </c>
      <c r="J110" s="1">
        <v>15</v>
      </c>
      <c r="K110" s="1">
        <v>100</v>
      </c>
    </row>
    <row r="111" spans="2:11" hidden="1" x14ac:dyDescent="0.25">
      <c r="B111" s="3">
        <v>46045</v>
      </c>
      <c r="C111" s="1" t="s">
        <v>10</v>
      </c>
      <c r="D111" s="1" t="s">
        <v>14</v>
      </c>
      <c r="E111" s="1" t="s">
        <v>18</v>
      </c>
      <c r="F111" s="1">
        <v>300</v>
      </c>
      <c r="I111" s="1">
        <v>30</v>
      </c>
      <c r="J111" s="1">
        <v>17</v>
      </c>
      <c r="K111" s="1">
        <v>150</v>
      </c>
    </row>
    <row r="112" spans="2:11" x14ac:dyDescent="0.25">
      <c r="B112" s="3">
        <v>46045</v>
      </c>
      <c r="C112" s="1" t="s">
        <v>9</v>
      </c>
      <c r="D112" s="1" t="s">
        <v>13</v>
      </c>
      <c r="E112" s="1" t="s">
        <v>18</v>
      </c>
      <c r="F112" s="1">
        <v>250</v>
      </c>
      <c r="I112" s="1">
        <v>25</v>
      </c>
      <c r="J112" s="1">
        <v>15</v>
      </c>
      <c r="K112" s="1">
        <v>125</v>
      </c>
    </row>
    <row r="113" spans="2:11" hidden="1" x14ac:dyDescent="0.25">
      <c r="B113" s="3">
        <v>46045</v>
      </c>
      <c r="C113" s="1" t="s">
        <v>10</v>
      </c>
      <c r="D113" s="1" t="s">
        <v>14</v>
      </c>
      <c r="E113" s="1" t="s">
        <v>19</v>
      </c>
      <c r="F113" s="1">
        <v>300</v>
      </c>
      <c r="G113" s="3">
        <v>46045</v>
      </c>
      <c r="H113" s="1">
        <v>150</v>
      </c>
      <c r="I113" s="1">
        <v>30</v>
      </c>
      <c r="J113" s="1">
        <v>20</v>
      </c>
      <c r="K113" s="1">
        <v>150</v>
      </c>
    </row>
    <row r="114" spans="2:11" hidden="1" x14ac:dyDescent="0.25">
      <c r="B114" s="3">
        <v>46045</v>
      </c>
      <c r="C114" s="1" t="s">
        <v>11</v>
      </c>
      <c r="D114" s="1" t="s">
        <v>17</v>
      </c>
      <c r="E114" s="1" t="s">
        <v>18</v>
      </c>
      <c r="F114" s="1">
        <v>600</v>
      </c>
      <c r="I114" s="1">
        <v>60</v>
      </c>
      <c r="J114" s="1">
        <v>20</v>
      </c>
      <c r="K114" s="1">
        <v>300</v>
      </c>
    </row>
    <row r="115" spans="2:11" x14ac:dyDescent="0.25">
      <c r="B115" s="3">
        <v>46045</v>
      </c>
      <c r="C115" s="1" t="s">
        <v>9</v>
      </c>
      <c r="D115" s="1" t="s">
        <v>13</v>
      </c>
      <c r="E115" s="1" t="s">
        <v>18</v>
      </c>
      <c r="F115" s="1">
        <v>250</v>
      </c>
      <c r="I115" s="1">
        <v>25</v>
      </c>
      <c r="J115" s="1">
        <v>20</v>
      </c>
      <c r="K115" s="1">
        <v>125</v>
      </c>
    </row>
    <row r="116" spans="2:11" x14ac:dyDescent="0.25">
      <c r="B116" s="3">
        <v>46045</v>
      </c>
      <c r="C116" s="1" t="s">
        <v>9</v>
      </c>
      <c r="D116" s="1" t="s">
        <v>12</v>
      </c>
      <c r="E116" s="1" t="s">
        <v>18</v>
      </c>
      <c r="F116" s="1">
        <v>200</v>
      </c>
      <c r="I116" s="1">
        <v>20</v>
      </c>
      <c r="J116" s="1">
        <v>20</v>
      </c>
      <c r="K116" s="1">
        <v>100</v>
      </c>
    </row>
    <row r="117" spans="2:11" hidden="1" x14ac:dyDescent="0.25">
      <c r="B117" s="3">
        <v>46045</v>
      </c>
      <c r="C117" s="1" t="s">
        <v>10</v>
      </c>
      <c r="D117" s="1" t="s">
        <v>15</v>
      </c>
      <c r="E117" s="1" t="s">
        <v>18</v>
      </c>
      <c r="F117" s="1">
        <v>350</v>
      </c>
      <c r="I117" s="1">
        <v>35</v>
      </c>
      <c r="J117" s="1">
        <v>12</v>
      </c>
      <c r="K117" s="1">
        <v>175</v>
      </c>
    </row>
    <row r="118" spans="2:11" hidden="1" x14ac:dyDescent="0.25">
      <c r="B118" s="3">
        <v>46046</v>
      </c>
      <c r="C118" s="1" t="s">
        <v>10</v>
      </c>
      <c r="D118" s="1" t="s">
        <v>15</v>
      </c>
      <c r="E118" s="1" t="s">
        <v>18</v>
      </c>
      <c r="F118" s="1">
        <v>350</v>
      </c>
      <c r="I118" s="1">
        <v>35</v>
      </c>
      <c r="J118" s="1">
        <v>18</v>
      </c>
      <c r="K118" s="1">
        <v>175</v>
      </c>
    </row>
    <row r="119" spans="2:11" x14ac:dyDescent="0.25">
      <c r="B119" s="3">
        <v>46046</v>
      </c>
      <c r="C119" s="1" t="s">
        <v>9</v>
      </c>
      <c r="D119" s="1" t="s">
        <v>12</v>
      </c>
      <c r="E119" s="1" t="s">
        <v>18</v>
      </c>
      <c r="F119" s="1">
        <v>200</v>
      </c>
      <c r="I119" s="1">
        <v>20</v>
      </c>
      <c r="J119" s="1">
        <v>10</v>
      </c>
      <c r="K119" s="1">
        <v>100</v>
      </c>
    </row>
    <row r="120" spans="2:11" hidden="1" x14ac:dyDescent="0.25">
      <c r="B120" s="3">
        <v>46046</v>
      </c>
      <c r="C120" s="1" t="s">
        <v>10</v>
      </c>
      <c r="D120" s="1" t="s">
        <v>14</v>
      </c>
      <c r="E120" s="1" t="s">
        <v>18</v>
      </c>
      <c r="F120" s="1">
        <v>300</v>
      </c>
      <c r="I120" s="1">
        <v>30</v>
      </c>
      <c r="J120" s="1">
        <v>11</v>
      </c>
      <c r="K120" s="1">
        <v>0</v>
      </c>
    </row>
    <row r="121" spans="2:11" x14ac:dyDescent="0.25">
      <c r="B121" s="3">
        <v>46046</v>
      </c>
      <c r="C121" s="1" t="s">
        <v>9</v>
      </c>
      <c r="D121" s="1" t="s">
        <v>13</v>
      </c>
      <c r="E121" s="1" t="s">
        <v>18</v>
      </c>
      <c r="F121" s="1">
        <v>250</v>
      </c>
      <c r="I121" s="1">
        <v>25</v>
      </c>
      <c r="J121" s="1">
        <v>17</v>
      </c>
      <c r="K121" s="1">
        <v>125</v>
      </c>
    </row>
    <row r="122" spans="2:11" x14ac:dyDescent="0.25">
      <c r="B122" s="3">
        <v>46046</v>
      </c>
      <c r="C122" s="1" t="s">
        <v>9</v>
      </c>
      <c r="D122" s="1" t="s">
        <v>12</v>
      </c>
      <c r="E122" s="1" t="s">
        <v>18</v>
      </c>
      <c r="F122" s="1">
        <v>200</v>
      </c>
      <c r="I122" s="1">
        <v>20</v>
      </c>
      <c r="J122" s="1">
        <v>12</v>
      </c>
      <c r="K122" s="1">
        <v>0</v>
      </c>
    </row>
    <row r="123" spans="2:11" x14ac:dyDescent="0.25">
      <c r="B123" s="3">
        <v>46047</v>
      </c>
      <c r="C123" s="1" t="s">
        <v>9</v>
      </c>
      <c r="D123" s="1" t="s">
        <v>12</v>
      </c>
      <c r="E123" s="1" t="s">
        <v>18</v>
      </c>
      <c r="F123" s="1">
        <v>200</v>
      </c>
      <c r="I123" s="1">
        <v>20</v>
      </c>
      <c r="J123" s="1">
        <v>19</v>
      </c>
      <c r="K123" s="1">
        <v>100</v>
      </c>
    </row>
    <row r="124" spans="2:11" hidden="1" x14ac:dyDescent="0.25">
      <c r="B124" s="3">
        <v>46047</v>
      </c>
      <c r="C124" s="1" t="s">
        <v>10</v>
      </c>
      <c r="D124" s="1" t="s">
        <v>14</v>
      </c>
      <c r="E124" s="1" t="s">
        <v>18</v>
      </c>
      <c r="F124" s="1">
        <v>300</v>
      </c>
      <c r="I124" s="1">
        <v>30</v>
      </c>
      <c r="J124" s="1">
        <v>19</v>
      </c>
      <c r="K124" s="1">
        <v>150</v>
      </c>
    </row>
    <row r="125" spans="2:11" hidden="1" x14ac:dyDescent="0.25">
      <c r="B125" s="3">
        <v>46047</v>
      </c>
      <c r="C125" s="1" t="s">
        <v>10</v>
      </c>
      <c r="D125" s="1" t="s">
        <v>14</v>
      </c>
      <c r="E125" s="1" t="s">
        <v>18</v>
      </c>
      <c r="F125" s="1">
        <v>300</v>
      </c>
      <c r="I125" s="1">
        <v>30</v>
      </c>
      <c r="J125" s="1">
        <v>17</v>
      </c>
      <c r="K125" s="1">
        <v>150</v>
      </c>
    </row>
    <row r="126" spans="2:11" hidden="1" x14ac:dyDescent="0.25">
      <c r="B126" s="3">
        <v>46047</v>
      </c>
      <c r="C126" s="1" t="s">
        <v>11</v>
      </c>
      <c r="D126" s="1" t="s">
        <v>16</v>
      </c>
      <c r="E126" s="1" t="s">
        <v>18</v>
      </c>
      <c r="F126" s="1">
        <v>400</v>
      </c>
      <c r="I126" s="1">
        <v>40</v>
      </c>
      <c r="J126" s="1">
        <v>13</v>
      </c>
      <c r="K126" s="1">
        <v>200</v>
      </c>
    </row>
    <row r="127" spans="2:11" hidden="1" x14ac:dyDescent="0.25">
      <c r="B127" s="3">
        <v>46047</v>
      </c>
      <c r="C127" s="1" t="s">
        <v>10</v>
      </c>
      <c r="D127" s="1" t="s">
        <v>15</v>
      </c>
      <c r="E127" s="1" t="s">
        <v>19</v>
      </c>
      <c r="F127" s="1">
        <v>350</v>
      </c>
      <c r="G127" s="3">
        <v>46048</v>
      </c>
      <c r="H127" s="1">
        <v>350</v>
      </c>
      <c r="I127" s="1">
        <v>35</v>
      </c>
      <c r="J127" s="1">
        <v>11</v>
      </c>
      <c r="K127" s="1">
        <v>175</v>
      </c>
    </row>
    <row r="128" spans="2:11" x14ac:dyDescent="0.25">
      <c r="B128" s="3">
        <v>46047</v>
      </c>
      <c r="C128" s="1" t="s">
        <v>9</v>
      </c>
      <c r="D128" s="1" t="s">
        <v>13</v>
      </c>
      <c r="E128" s="1" t="s">
        <v>18</v>
      </c>
      <c r="F128" s="1">
        <v>250</v>
      </c>
      <c r="I128" s="1">
        <v>25</v>
      </c>
      <c r="J128" s="1">
        <v>20</v>
      </c>
      <c r="K128" s="1">
        <v>125</v>
      </c>
    </row>
    <row r="129" spans="2:11" hidden="1" x14ac:dyDescent="0.25">
      <c r="B129" s="3">
        <v>46047</v>
      </c>
      <c r="C129" s="1" t="s">
        <v>11</v>
      </c>
      <c r="D129" s="1" t="s">
        <v>16</v>
      </c>
      <c r="E129" s="1" t="s">
        <v>19</v>
      </c>
      <c r="F129" s="1">
        <v>400</v>
      </c>
      <c r="G129" s="3">
        <v>46047</v>
      </c>
      <c r="H129" s="1">
        <v>200</v>
      </c>
      <c r="I129" s="1">
        <v>40</v>
      </c>
      <c r="J129" s="1">
        <v>18</v>
      </c>
      <c r="K129" s="1">
        <v>200</v>
      </c>
    </row>
    <row r="130" spans="2:11" hidden="1" x14ac:dyDescent="0.25">
      <c r="B130" s="3">
        <v>46048</v>
      </c>
      <c r="C130" s="1" t="s">
        <v>10</v>
      </c>
      <c r="D130" s="1" t="s">
        <v>15</v>
      </c>
      <c r="E130" s="1" t="s">
        <v>18</v>
      </c>
      <c r="F130" s="1">
        <v>350</v>
      </c>
      <c r="I130" s="1">
        <v>35</v>
      </c>
      <c r="J130" s="1">
        <v>18</v>
      </c>
      <c r="K130" s="1">
        <v>0</v>
      </c>
    </row>
    <row r="131" spans="2:11" hidden="1" x14ac:dyDescent="0.25">
      <c r="B131" s="3">
        <v>46048</v>
      </c>
      <c r="C131" s="1" t="s">
        <v>10</v>
      </c>
      <c r="D131" s="1" t="s">
        <v>14</v>
      </c>
      <c r="E131" s="1" t="s">
        <v>19</v>
      </c>
      <c r="F131" s="1">
        <v>300</v>
      </c>
      <c r="G131" s="3">
        <v>46048</v>
      </c>
      <c r="H131" s="1">
        <v>175</v>
      </c>
      <c r="I131" s="1">
        <v>30</v>
      </c>
      <c r="J131" s="1">
        <v>11</v>
      </c>
      <c r="K131" s="1">
        <v>150</v>
      </c>
    </row>
    <row r="132" spans="2:11" hidden="1" x14ac:dyDescent="0.25">
      <c r="B132" s="3">
        <v>46048</v>
      </c>
      <c r="C132" s="1" t="s">
        <v>10</v>
      </c>
      <c r="D132" s="1" t="s">
        <v>14</v>
      </c>
      <c r="E132" s="1" t="s">
        <v>18</v>
      </c>
      <c r="F132" s="1">
        <v>300</v>
      </c>
      <c r="I132" s="1">
        <v>30</v>
      </c>
      <c r="J132" s="1">
        <v>15</v>
      </c>
      <c r="K132" s="1">
        <v>150</v>
      </c>
    </row>
    <row r="133" spans="2:11" hidden="1" x14ac:dyDescent="0.25">
      <c r="B133" s="3">
        <v>46048</v>
      </c>
      <c r="C133" s="1" t="s">
        <v>11</v>
      </c>
      <c r="D133" s="1" t="s">
        <v>16</v>
      </c>
      <c r="E133" s="1" t="s">
        <v>19</v>
      </c>
      <c r="F133" s="1">
        <v>400</v>
      </c>
      <c r="G133" s="3">
        <v>46050</v>
      </c>
      <c r="H133" s="1">
        <v>250</v>
      </c>
      <c r="I133" s="1">
        <v>40</v>
      </c>
      <c r="J133" s="1">
        <v>19</v>
      </c>
      <c r="K133" s="1">
        <v>200</v>
      </c>
    </row>
    <row r="134" spans="2:11" x14ac:dyDescent="0.25">
      <c r="B134" s="3">
        <v>46048</v>
      </c>
      <c r="C134" s="1" t="s">
        <v>9</v>
      </c>
      <c r="D134" s="1" t="s">
        <v>12</v>
      </c>
      <c r="E134" s="1" t="s">
        <v>18</v>
      </c>
      <c r="F134" s="1">
        <v>200</v>
      </c>
      <c r="I134" s="1">
        <v>20</v>
      </c>
      <c r="J134" s="1">
        <v>16</v>
      </c>
      <c r="K134" s="1">
        <v>100</v>
      </c>
    </row>
    <row r="135" spans="2:11" x14ac:dyDescent="0.25">
      <c r="B135" s="3">
        <v>46049</v>
      </c>
      <c r="C135" s="1" t="s">
        <v>9</v>
      </c>
      <c r="D135" s="1" t="s">
        <v>13</v>
      </c>
      <c r="E135" s="1" t="s">
        <v>18</v>
      </c>
      <c r="F135" s="1">
        <v>250</v>
      </c>
      <c r="I135" s="1">
        <v>25</v>
      </c>
      <c r="J135" s="1">
        <v>11</v>
      </c>
      <c r="K135" s="1">
        <v>125</v>
      </c>
    </row>
    <row r="136" spans="2:11" x14ac:dyDescent="0.25">
      <c r="B136" s="3">
        <v>46049</v>
      </c>
      <c r="C136" s="1" t="s">
        <v>9</v>
      </c>
      <c r="D136" s="1" t="s">
        <v>13</v>
      </c>
      <c r="E136" s="1" t="s">
        <v>18</v>
      </c>
      <c r="F136" s="1">
        <v>250</v>
      </c>
      <c r="I136" s="1">
        <v>25</v>
      </c>
      <c r="J136" s="1">
        <v>11</v>
      </c>
      <c r="K136" s="1">
        <v>125</v>
      </c>
    </row>
    <row r="137" spans="2:11" hidden="1" x14ac:dyDescent="0.25">
      <c r="B137" s="3">
        <v>46049</v>
      </c>
      <c r="C137" s="1" t="s">
        <v>11</v>
      </c>
      <c r="D137" s="1" t="s">
        <v>17</v>
      </c>
      <c r="E137" s="1" t="s">
        <v>18</v>
      </c>
      <c r="F137" s="1">
        <v>600</v>
      </c>
      <c r="I137" s="1">
        <v>60</v>
      </c>
      <c r="J137" s="1">
        <v>20</v>
      </c>
      <c r="K137" s="1">
        <v>0</v>
      </c>
    </row>
    <row r="138" spans="2:11" hidden="1" x14ac:dyDescent="0.25">
      <c r="B138" s="3">
        <v>46049</v>
      </c>
      <c r="C138" s="1" t="s">
        <v>11</v>
      </c>
      <c r="D138" s="1" t="s">
        <v>17</v>
      </c>
      <c r="E138" s="1" t="s">
        <v>18</v>
      </c>
      <c r="F138" s="1">
        <v>600</v>
      </c>
      <c r="I138" s="1">
        <v>60</v>
      </c>
      <c r="J138" s="1">
        <v>12</v>
      </c>
      <c r="K138" s="1">
        <v>300</v>
      </c>
    </row>
    <row r="139" spans="2:11" x14ac:dyDescent="0.25">
      <c r="B139" s="3">
        <v>46050</v>
      </c>
      <c r="C139" s="1" t="s">
        <v>9</v>
      </c>
      <c r="D139" s="1" t="s">
        <v>12</v>
      </c>
      <c r="E139" s="1" t="s">
        <v>18</v>
      </c>
      <c r="F139" s="1">
        <v>200</v>
      </c>
      <c r="I139" s="1">
        <v>20</v>
      </c>
      <c r="J139" s="1">
        <v>15</v>
      </c>
      <c r="K139" s="1">
        <v>100</v>
      </c>
    </row>
    <row r="140" spans="2:11" x14ac:dyDescent="0.25">
      <c r="B140" s="3">
        <v>46050</v>
      </c>
      <c r="C140" s="1" t="s">
        <v>9</v>
      </c>
      <c r="D140" s="1" t="s">
        <v>12</v>
      </c>
      <c r="E140" s="1" t="s">
        <v>18</v>
      </c>
      <c r="F140" s="1">
        <v>200</v>
      </c>
      <c r="I140" s="1">
        <v>20</v>
      </c>
      <c r="J140" s="1">
        <v>13</v>
      </c>
      <c r="K140" s="1">
        <v>100</v>
      </c>
    </row>
    <row r="141" spans="2:11" x14ac:dyDescent="0.25">
      <c r="B141" s="3">
        <v>46051</v>
      </c>
      <c r="C141" s="1" t="s">
        <v>9</v>
      </c>
      <c r="D141" s="1" t="s">
        <v>13</v>
      </c>
      <c r="E141" s="1" t="s">
        <v>19</v>
      </c>
      <c r="F141" s="1">
        <v>250</v>
      </c>
      <c r="G141" s="3">
        <v>46053</v>
      </c>
      <c r="H141" s="1">
        <v>100</v>
      </c>
      <c r="I141" s="1">
        <v>25</v>
      </c>
      <c r="J141" s="1">
        <v>10</v>
      </c>
      <c r="K141" s="1">
        <v>125</v>
      </c>
    </row>
    <row r="142" spans="2:11" hidden="1" x14ac:dyDescent="0.25">
      <c r="B142" s="3">
        <v>46051</v>
      </c>
      <c r="C142" s="1" t="s">
        <v>11</v>
      </c>
      <c r="D142" s="1" t="s">
        <v>16</v>
      </c>
      <c r="E142" s="1" t="s">
        <v>18</v>
      </c>
      <c r="F142" s="1">
        <v>400</v>
      </c>
      <c r="I142" s="1">
        <v>40</v>
      </c>
      <c r="J142" s="1">
        <v>20</v>
      </c>
      <c r="K142" s="1">
        <v>0</v>
      </c>
    </row>
    <row r="143" spans="2:11" hidden="1" x14ac:dyDescent="0.25">
      <c r="B143" s="3">
        <v>46051</v>
      </c>
      <c r="C143" s="1" t="s">
        <v>10</v>
      </c>
      <c r="D143" s="1" t="s">
        <v>15</v>
      </c>
      <c r="E143" s="1" t="s">
        <v>19</v>
      </c>
      <c r="F143" s="1">
        <v>350</v>
      </c>
      <c r="G143" s="3">
        <v>46051</v>
      </c>
      <c r="H143" s="1">
        <v>50</v>
      </c>
      <c r="I143" s="1">
        <v>35</v>
      </c>
      <c r="J143" s="1">
        <v>15</v>
      </c>
      <c r="K143" s="1">
        <v>0</v>
      </c>
    </row>
    <row r="144" spans="2:11" hidden="1" x14ac:dyDescent="0.25">
      <c r="B144" s="3">
        <v>46051</v>
      </c>
      <c r="C144" s="1" t="s">
        <v>10</v>
      </c>
      <c r="D144" s="1" t="s">
        <v>14</v>
      </c>
      <c r="E144" s="1" t="s">
        <v>19</v>
      </c>
      <c r="F144" s="1">
        <v>300</v>
      </c>
      <c r="G144" s="3">
        <v>46051</v>
      </c>
      <c r="H144" s="1">
        <v>250</v>
      </c>
      <c r="I144" s="1">
        <v>30</v>
      </c>
      <c r="J144" s="1">
        <v>18</v>
      </c>
      <c r="K144" s="1">
        <v>0</v>
      </c>
    </row>
    <row r="145" spans="2:11" hidden="1" x14ac:dyDescent="0.25">
      <c r="B145" s="3">
        <v>46051</v>
      </c>
      <c r="C145" s="1" t="s">
        <v>11</v>
      </c>
      <c r="D145" s="1" t="s">
        <v>17</v>
      </c>
      <c r="E145" s="1" t="s">
        <v>18</v>
      </c>
      <c r="F145" s="1">
        <v>600</v>
      </c>
      <c r="I145" s="1">
        <v>60</v>
      </c>
      <c r="J145" s="1">
        <v>17</v>
      </c>
      <c r="K145" s="1">
        <v>300</v>
      </c>
    </row>
    <row r="146" spans="2:11" x14ac:dyDescent="0.25">
      <c r="B146" s="3">
        <v>46052</v>
      </c>
      <c r="C146" s="1" t="s">
        <v>9</v>
      </c>
      <c r="D146" s="1" t="s">
        <v>12</v>
      </c>
      <c r="E146" s="1" t="s">
        <v>18</v>
      </c>
      <c r="F146" s="1">
        <v>200</v>
      </c>
      <c r="I146" s="1">
        <v>20</v>
      </c>
      <c r="J146" s="1">
        <v>11</v>
      </c>
      <c r="K146" s="1">
        <v>100</v>
      </c>
    </row>
    <row r="147" spans="2:11" x14ac:dyDescent="0.25">
      <c r="B147" s="3">
        <v>46052</v>
      </c>
      <c r="C147" s="1" t="s">
        <v>9</v>
      </c>
      <c r="D147" s="1" t="s">
        <v>13</v>
      </c>
      <c r="E147" s="1" t="s">
        <v>18</v>
      </c>
      <c r="F147" s="1">
        <v>250</v>
      </c>
      <c r="I147" s="1">
        <v>25</v>
      </c>
      <c r="J147" s="1">
        <v>14</v>
      </c>
      <c r="K147" s="1">
        <v>125</v>
      </c>
    </row>
    <row r="148" spans="2:11" hidden="1" x14ac:dyDescent="0.25">
      <c r="B148" s="3">
        <v>46052</v>
      </c>
      <c r="C148" s="1" t="s">
        <v>11</v>
      </c>
      <c r="D148" s="1" t="s">
        <v>17</v>
      </c>
      <c r="E148" s="1" t="s">
        <v>18</v>
      </c>
      <c r="F148" s="1">
        <v>600</v>
      </c>
      <c r="I148" s="1">
        <v>60</v>
      </c>
      <c r="J148" s="1">
        <v>20</v>
      </c>
      <c r="K148" s="1">
        <v>300</v>
      </c>
    </row>
    <row r="149" spans="2:11" hidden="1" x14ac:dyDescent="0.25">
      <c r="B149" s="3">
        <v>46053</v>
      </c>
      <c r="C149" s="1" t="s">
        <v>10</v>
      </c>
      <c r="D149" s="1" t="s">
        <v>15</v>
      </c>
      <c r="E149" s="1" t="s">
        <v>18</v>
      </c>
      <c r="F149" s="1">
        <v>350</v>
      </c>
      <c r="I149" s="1">
        <v>35</v>
      </c>
      <c r="J149" s="1">
        <v>14</v>
      </c>
      <c r="K149" s="1">
        <v>175</v>
      </c>
    </row>
    <row r="150" spans="2:11" x14ac:dyDescent="0.25">
      <c r="B150" s="3">
        <v>46053</v>
      </c>
      <c r="C150" s="1" t="s">
        <v>9</v>
      </c>
      <c r="D150" s="1" t="s">
        <v>12</v>
      </c>
      <c r="E150" s="1" t="s">
        <v>19</v>
      </c>
      <c r="F150" s="1">
        <v>200</v>
      </c>
      <c r="G150" s="3">
        <v>46053</v>
      </c>
      <c r="H150" s="1">
        <v>200</v>
      </c>
      <c r="I150" s="1">
        <v>20</v>
      </c>
      <c r="J150" s="1">
        <v>19</v>
      </c>
      <c r="K150" s="1">
        <v>100</v>
      </c>
    </row>
    <row r="151" spans="2:11" hidden="1" x14ac:dyDescent="0.25">
      <c r="B151" s="3">
        <v>46053</v>
      </c>
      <c r="C151" s="1" t="s">
        <v>11</v>
      </c>
      <c r="D151" s="1" t="s">
        <v>16</v>
      </c>
      <c r="E151" s="1" t="s">
        <v>19</v>
      </c>
      <c r="F151" s="1">
        <v>400</v>
      </c>
      <c r="G151" s="3">
        <v>46053</v>
      </c>
      <c r="H151" s="1">
        <v>300</v>
      </c>
      <c r="I151" s="1">
        <v>40</v>
      </c>
      <c r="J151" s="1">
        <v>16</v>
      </c>
      <c r="K151" s="1">
        <v>200</v>
      </c>
    </row>
    <row r="152" spans="2:11" hidden="1" x14ac:dyDescent="0.25">
      <c r="B152" s="3">
        <v>46053</v>
      </c>
      <c r="C152" s="1" t="s">
        <v>10</v>
      </c>
      <c r="D152" s="1" t="s">
        <v>15</v>
      </c>
      <c r="E152" s="1" t="s">
        <v>18</v>
      </c>
      <c r="F152" s="1">
        <v>350</v>
      </c>
      <c r="I152" s="1">
        <v>35</v>
      </c>
      <c r="J152" s="1">
        <v>20</v>
      </c>
      <c r="K152" s="1">
        <v>175</v>
      </c>
    </row>
    <row r="153" spans="2:11" hidden="1" x14ac:dyDescent="0.25">
      <c r="B153" s="3">
        <v>46053</v>
      </c>
      <c r="C153" s="1" t="s">
        <v>11</v>
      </c>
      <c r="D153" s="1" t="s">
        <v>16</v>
      </c>
      <c r="E153" s="1" t="s">
        <v>18</v>
      </c>
      <c r="F153" s="1">
        <v>400</v>
      </c>
      <c r="I153" s="1">
        <v>40</v>
      </c>
      <c r="J153" s="1">
        <v>20</v>
      </c>
      <c r="K153" s="1">
        <v>0</v>
      </c>
    </row>
    <row r="154" spans="2:11" hidden="1" x14ac:dyDescent="0.25">
      <c r="B154" s="3">
        <v>46053</v>
      </c>
      <c r="C154" s="1" t="s">
        <v>11</v>
      </c>
      <c r="D154" s="1" t="s">
        <v>17</v>
      </c>
      <c r="E154" s="1" t="s">
        <v>19</v>
      </c>
      <c r="F154" s="1">
        <v>600</v>
      </c>
      <c r="G154" s="3">
        <v>46053</v>
      </c>
      <c r="H154" s="1">
        <v>100</v>
      </c>
      <c r="I154" s="1">
        <v>60</v>
      </c>
      <c r="J154" s="1">
        <v>10</v>
      </c>
      <c r="K154" s="1">
        <v>0</v>
      </c>
    </row>
    <row r="155" spans="2:11" hidden="1" x14ac:dyDescent="0.25">
      <c r="B155" s="3">
        <v>46053</v>
      </c>
      <c r="C155" s="1" t="s">
        <v>11</v>
      </c>
      <c r="D155" s="1" t="s">
        <v>17</v>
      </c>
      <c r="E155" s="1" t="s">
        <v>18</v>
      </c>
      <c r="F155" s="1">
        <v>600</v>
      </c>
      <c r="I155" s="1">
        <v>60</v>
      </c>
      <c r="J155" s="1">
        <v>16</v>
      </c>
      <c r="K155" s="1">
        <v>300</v>
      </c>
    </row>
  </sheetData>
  <autoFilter ref="B5:K155" xr:uid="{F695AAD8-C6D5-4A49-AE07-FF826CC7F598}">
    <filterColumn colId="1">
      <filters>
        <filter val="Loja 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7E43-374C-4492-929E-0F4917E28814}">
  <dimension ref="A1:ZY51"/>
  <sheetViews>
    <sheetView showGridLines="0" tabSelected="1" topLeftCell="A16" zoomScale="90" zoomScaleNormal="90" workbookViewId="0">
      <selection activeCell="J20" sqref="J20"/>
    </sheetView>
  </sheetViews>
  <sheetFormatPr defaultColWidth="9.140625" defaultRowHeight="13.5" x14ac:dyDescent="0.25"/>
  <cols>
    <col min="1" max="1" width="1.7109375" style="1" customWidth="1"/>
    <col min="2" max="2" width="30.42578125" style="1" bestFit="1" customWidth="1"/>
    <col min="3" max="3" width="15.7109375" style="10" customWidth="1"/>
    <col min="4" max="5" width="14" style="1" bestFit="1" customWidth="1"/>
    <col min="6" max="6" width="15.140625" style="1" bestFit="1" customWidth="1"/>
    <col min="7" max="8" width="10.7109375" style="1" customWidth="1"/>
    <col min="9" max="9" width="21.140625" style="1" bestFit="1" customWidth="1"/>
    <col min="10" max="10" width="16.140625" style="1" customWidth="1"/>
    <col min="11" max="11" width="10.7109375" style="1" customWidth="1"/>
    <col min="12" max="12" width="21.140625" style="1" bestFit="1" customWidth="1"/>
    <col min="13" max="13" width="11.7109375" style="1" bestFit="1" customWidth="1"/>
    <col min="14" max="77" width="10.7109375" style="1" customWidth="1"/>
    <col min="78" max="16384" width="9.140625" style="1"/>
  </cols>
  <sheetData>
    <row r="1" spans="1:701" ht="9" customHeight="1" x14ac:dyDescent="0.25"/>
    <row r="3" spans="1:701" s="27" customFormat="1" x14ac:dyDescent="0.25">
      <c r="A3" s="1"/>
      <c r="B3" s="26" t="s">
        <v>46</v>
      </c>
      <c r="C3" s="32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26"/>
      <c r="MZ3" s="26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26"/>
      <c r="OH3" s="26"/>
      <c r="OI3" s="26"/>
      <c r="OJ3" s="26"/>
      <c r="OK3" s="26"/>
      <c r="OL3" s="26"/>
      <c r="OM3" s="26"/>
      <c r="ON3" s="26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26"/>
      <c r="PA3" s="26"/>
      <c r="PB3" s="26"/>
      <c r="PC3" s="26"/>
      <c r="PD3" s="26"/>
      <c r="PE3" s="26"/>
      <c r="PF3" s="26"/>
      <c r="PG3" s="26"/>
      <c r="PH3" s="26"/>
      <c r="PI3" s="26"/>
      <c r="PJ3" s="26"/>
      <c r="PK3" s="26"/>
      <c r="PL3" s="26"/>
      <c r="PM3" s="26"/>
      <c r="PN3" s="26"/>
      <c r="PO3" s="26"/>
      <c r="PP3" s="26"/>
      <c r="PQ3" s="26"/>
      <c r="PR3" s="26"/>
      <c r="PS3" s="26"/>
      <c r="PT3" s="26"/>
      <c r="PU3" s="26"/>
      <c r="PV3" s="26"/>
      <c r="PW3" s="26"/>
      <c r="PX3" s="26"/>
      <c r="PY3" s="26"/>
      <c r="PZ3" s="26"/>
      <c r="QA3" s="26"/>
      <c r="QB3" s="26"/>
      <c r="QC3" s="26"/>
      <c r="QD3" s="26"/>
      <c r="QE3" s="26"/>
      <c r="QF3" s="26"/>
      <c r="QG3" s="26"/>
      <c r="QH3" s="26"/>
      <c r="QI3" s="26"/>
      <c r="QJ3" s="26"/>
      <c r="QK3" s="26"/>
      <c r="QL3" s="26"/>
      <c r="QM3" s="26"/>
      <c r="QN3" s="26"/>
      <c r="QO3" s="26"/>
      <c r="QP3" s="26"/>
      <c r="QQ3" s="26"/>
      <c r="QR3" s="26"/>
      <c r="QS3" s="26"/>
      <c r="QT3" s="26"/>
      <c r="QU3" s="26"/>
      <c r="QV3" s="26"/>
      <c r="QW3" s="26"/>
      <c r="QX3" s="26"/>
      <c r="QY3" s="26"/>
      <c r="QZ3" s="26"/>
      <c r="RA3" s="26"/>
      <c r="RB3" s="26"/>
      <c r="RC3" s="26"/>
      <c r="RD3" s="26"/>
      <c r="RE3" s="26"/>
      <c r="RF3" s="26"/>
      <c r="RG3" s="26"/>
      <c r="RH3" s="26"/>
      <c r="RI3" s="26"/>
      <c r="RJ3" s="26"/>
      <c r="RK3" s="26"/>
      <c r="RL3" s="26"/>
      <c r="RM3" s="26"/>
      <c r="RN3" s="26"/>
      <c r="RO3" s="26"/>
      <c r="RP3" s="26"/>
      <c r="RQ3" s="26"/>
      <c r="RR3" s="26"/>
      <c r="RS3" s="26"/>
      <c r="RT3" s="26"/>
      <c r="RU3" s="26"/>
      <c r="RV3" s="26"/>
      <c r="RW3" s="26"/>
      <c r="RX3" s="26"/>
      <c r="RY3" s="26"/>
      <c r="RZ3" s="26"/>
      <c r="SA3" s="26"/>
      <c r="SB3" s="26"/>
      <c r="SC3" s="26"/>
      <c r="SD3" s="26"/>
      <c r="SE3" s="26"/>
      <c r="SF3" s="26"/>
      <c r="SG3" s="26"/>
      <c r="SH3" s="26"/>
      <c r="SI3" s="26"/>
      <c r="SJ3" s="26"/>
      <c r="SK3" s="26"/>
      <c r="SL3" s="26"/>
      <c r="SM3" s="26"/>
      <c r="SN3" s="26"/>
      <c r="SO3" s="26"/>
      <c r="SP3" s="26"/>
      <c r="SQ3" s="26"/>
      <c r="SR3" s="26"/>
      <c r="SS3" s="26"/>
      <c r="ST3" s="26"/>
      <c r="SU3" s="26"/>
      <c r="SV3" s="26"/>
      <c r="SW3" s="26"/>
      <c r="SX3" s="26"/>
      <c r="SY3" s="26"/>
      <c r="SZ3" s="26"/>
      <c r="TA3" s="26"/>
      <c r="TB3" s="26"/>
      <c r="TC3" s="26"/>
      <c r="TD3" s="26"/>
      <c r="TE3" s="26"/>
      <c r="TF3" s="26"/>
      <c r="TG3" s="26"/>
      <c r="TH3" s="26"/>
      <c r="TI3" s="26"/>
      <c r="TJ3" s="26"/>
      <c r="TK3" s="26"/>
      <c r="TL3" s="26"/>
      <c r="TM3" s="26"/>
      <c r="TN3" s="26"/>
      <c r="TO3" s="26"/>
      <c r="TP3" s="26"/>
      <c r="TQ3" s="26"/>
      <c r="TR3" s="26"/>
      <c r="TS3" s="26"/>
      <c r="TT3" s="26"/>
      <c r="TU3" s="26"/>
      <c r="TV3" s="26"/>
      <c r="TW3" s="26"/>
      <c r="TX3" s="26"/>
      <c r="TY3" s="26"/>
      <c r="TZ3" s="26"/>
      <c r="UA3" s="26"/>
      <c r="UB3" s="26"/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26"/>
      <c r="ZR3" s="26"/>
      <c r="ZS3" s="26"/>
      <c r="ZT3" s="26"/>
      <c r="ZU3" s="26"/>
      <c r="ZV3" s="26"/>
      <c r="ZW3" s="26"/>
      <c r="ZX3" s="26"/>
      <c r="ZY3" s="26"/>
    </row>
    <row r="6" spans="1:701" ht="15.75" x14ac:dyDescent="0.25">
      <c r="B6" s="34" t="s">
        <v>22</v>
      </c>
      <c r="C6" s="34"/>
      <c r="D6" s="4"/>
    </row>
    <row r="7" spans="1:701" ht="15.75" x14ac:dyDescent="0.25">
      <c r="B7" s="6" t="s">
        <v>21</v>
      </c>
      <c r="C7" s="11">
        <f>SUM(Dados!F6:F155)</f>
        <v>51400</v>
      </c>
    </row>
    <row r="8" spans="1:701" ht="15.75" x14ac:dyDescent="0.25">
      <c r="B8" s="7" t="s">
        <v>23</v>
      </c>
      <c r="C8" s="12">
        <f>-C7*5%</f>
        <v>-2570</v>
      </c>
    </row>
    <row r="9" spans="1:701" ht="15.75" x14ac:dyDescent="0.25">
      <c r="B9" s="8" t="s">
        <v>24</v>
      </c>
      <c r="C9" s="11">
        <f>SUM(C7:C8)</f>
        <v>48830</v>
      </c>
    </row>
    <row r="10" spans="1:701" ht="15.75" x14ac:dyDescent="0.25">
      <c r="B10" s="5" t="s">
        <v>25</v>
      </c>
      <c r="C10" s="12"/>
    </row>
    <row r="11" spans="1:701" ht="15.75" x14ac:dyDescent="0.25">
      <c r="B11" s="8" t="s">
        <v>7</v>
      </c>
      <c r="C11" s="12">
        <f>-SUM(Dados!$I$6:$I$155)</f>
        <v>-5140</v>
      </c>
    </row>
    <row r="12" spans="1:701" ht="15.75" x14ac:dyDescent="0.25">
      <c r="B12" s="8" t="s">
        <v>8</v>
      </c>
      <c r="C12" s="12">
        <f>-SUM(Dados!$J$6:$J$155)</f>
        <v>-2257</v>
      </c>
    </row>
    <row r="13" spans="1:701" ht="15.75" x14ac:dyDescent="0.25">
      <c r="B13" s="5" t="s">
        <v>26</v>
      </c>
      <c r="C13" s="12"/>
    </row>
    <row r="14" spans="1:701" ht="15.75" x14ac:dyDescent="0.25">
      <c r="B14" s="8" t="s">
        <v>28</v>
      </c>
      <c r="C14" s="12">
        <f>-SUM(Dados!K6:K155)</f>
        <v>-20475</v>
      </c>
    </row>
    <row r="15" spans="1:701" ht="15.75" x14ac:dyDescent="0.25">
      <c r="B15" s="8" t="s">
        <v>29</v>
      </c>
      <c r="C15" s="12">
        <f>-SUM(Dados!$H$6:$H$155)</f>
        <v>-6345</v>
      </c>
    </row>
    <row r="16" spans="1:701" ht="15.75" x14ac:dyDescent="0.25">
      <c r="B16" s="9" t="s">
        <v>27</v>
      </c>
      <c r="C16" s="11">
        <f>SUM(C9:C15)</f>
        <v>14613</v>
      </c>
    </row>
    <row r="17" spans="2:13" x14ac:dyDescent="0.25">
      <c r="C17" s="13"/>
    </row>
    <row r="18" spans="2:13" ht="15" x14ac:dyDescent="0.25">
      <c r="C18" s="13"/>
      <c r="J18"/>
    </row>
    <row r="19" spans="2:13" ht="16.5" thickBot="1" x14ac:dyDescent="0.3">
      <c r="B19" s="35" t="s">
        <v>30</v>
      </c>
      <c r="C19" s="35"/>
      <c r="D19" s="35"/>
      <c r="E19" s="35"/>
      <c r="F19" s="35"/>
      <c r="I19" s="36" t="s">
        <v>43</v>
      </c>
      <c r="J19" s="37"/>
      <c r="L19" s="36" t="s">
        <v>45</v>
      </c>
      <c r="M19" s="36"/>
    </row>
    <row r="20" spans="2:13" ht="16.5" thickBot="1" x14ac:dyDescent="0.3">
      <c r="B20" s="14" t="s">
        <v>0</v>
      </c>
      <c r="C20" s="15" t="s">
        <v>31</v>
      </c>
      <c r="D20" s="7" t="s">
        <v>32</v>
      </c>
      <c r="E20" s="7" t="s">
        <v>33</v>
      </c>
      <c r="F20" s="7" t="s">
        <v>34</v>
      </c>
      <c r="I20" s="21" t="s">
        <v>42</v>
      </c>
      <c r="J20" s="23">
        <v>46027</v>
      </c>
      <c r="L20" s="19" t="s">
        <v>42</v>
      </c>
      <c r="M20" s="24">
        <f>$J$20</f>
        <v>46027</v>
      </c>
    </row>
    <row r="21" spans="2:13" ht="14.25" thickBot="1" x14ac:dyDescent="0.3">
      <c r="B21" s="16">
        <v>46023</v>
      </c>
      <c r="C21" s="17">
        <v>0</v>
      </c>
      <c r="D21" s="17">
        <f>SUMIF(Dados!$B$6:$B$155,'DFs (2)'!$B21-2,Dados!$F$6:$F$155)</f>
        <v>0</v>
      </c>
      <c r="E21" s="17">
        <f>-(5%*SUMIF(Dados!$B$6:$B$155,'DFs (2)'!$B21,Dados!$F$6:$F$155)+SUMIF(Dados!$B$6:$B$155,'DFs (2)'!$B21,Dados!$K$6:$K$155)+SUMIF(Dados!$G$6:$G$155,'DFs (2)'!$B21,Dados!$H$6:$H$155)+SUMIF(Dados!$B$6:$B$155,'DFs (2)'!$B21-7,Dados!$I$6:$I$155)+SUMIF(Dados!$B$6:$B$155,'DFs (2)'!$B21-7,Dados!$J$6:$J$155))</f>
        <v>-385</v>
      </c>
      <c r="F21" s="17">
        <f>SUM(C21:E21)</f>
        <v>-385</v>
      </c>
      <c r="I21" s="19" t="s">
        <v>35</v>
      </c>
      <c r="J21" s="22">
        <f>SUMIF(Dados!$B$6:$B$155,"&lt;="&amp;($J$20-3),Dados!$F$6:$F$155)-0.05*SUMIF(Dados!$B$6:$B$155,"&lt;="&amp;($J$20-1),Dados!$F$6:$F$155)-SUMIF(Dados!$B$6:$B$155,"&lt;="&amp;($J$20-1),Dados!$K$6:$K$155)-SUMIF(Dados!$G$6:$G$155,"&lt;="&amp;($J$20-1),Dados!$H$6:$H$155)-SUMIF(Dados!$B$6:$B$155,"&lt;="&amp;($J$20-8),Dados!$I$6:$I$155)-SUMIF(Dados!$B$6:$B$155,"&lt;="&amp;($J$20-8),Dados!$J$6:$J$155)</f>
        <v>-1195</v>
      </c>
      <c r="L21" s="21" t="s">
        <v>2</v>
      </c>
      <c r="M21" s="25" t="s">
        <v>12</v>
      </c>
    </row>
    <row r="22" spans="2:13" x14ac:dyDescent="0.25">
      <c r="B22" s="16">
        <v>46024</v>
      </c>
      <c r="C22" s="17">
        <f>F21</f>
        <v>-385</v>
      </c>
      <c r="D22" s="17">
        <f>SUMIF(Dados!$B$6:$B$155,'DFs (2)'!$B22-2,Dados!$F$6:$F$155)</f>
        <v>0</v>
      </c>
      <c r="E22" s="17">
        <f>-(5%*SUMIF(Dados!$B$6:$B$155,'DFs (2)'!$B22,Dados!$F$6:$F$155)+SUMIF(Dados!$B$6:$B$155,'DFs (2)'!$B22,Dados!$K$6:$K$155)+SUMIF(Dados!$G$6:$G$155,'DFs (2)'!$B22,Dados!$H$6:$H$155)+SUMIF(Dados!$B$6:$B$155,'DFs (2)'!$B22-7,Dados!$I$6:$I$155)+SUMIF(Dados!$B$6:$B$155,'DFs (2)'!$B22-7,Dados!$J$6:$J$155))</f>
        <v>-407.5</v>
      </c>
      <c r="F22" s="17">
        <f t="shared" ref="F22:F51" si="0">SUM(C22:E22)</f>
        <v>-792.5</v>
      </c>
      <c r="I22" s="19" t="s">
        <v>32</v>
      </c>
      <c r="J22" s="18"/>
      <c r="L22" s="19" t="s">
        <v>35</v>
      </c>
      <c r="M22" s="22">
        <f>SUMIFS(Dados!$F$6:$F$155, Dados!$B$6:$B$155, "&lt;="&amp;('DFs (2)'!$J$20-3), Dados!$D$6:$D$155, 'DFs (2)'!$M$21)-0.05*SUMIFS(Dados!$F$6:$F$155, Dados!$B$6:$B$155, "&lt;="&amp;('DFs (2)'!$J$20-1), Dados!$D$6:$D$155, 'DFs (2)'!$M$21)-SUMIFS(Dados!$K$6:$K$155, Dados!$B$6:$B$155, "&lt;="&amp;('DFs (2)'!$J$20-1), Dados!$D$6:$D$155, 'DFs (2)'!$M$21)-SUMIFS(Dados!$H$6:$H$155, Dados!$G$6:$G$155, "&lt;="&amp;('DFs (2)'!$J$20-1), Dados!$D$6:$D$155, 'DFs (2)'!$M$21)-SUMIFS(Dados!$I$6:$I$155, Dados!$B$6:$B$155, "&lt;="&amp;('DFs (2)'!$J$20-8), Dados!$D$6:$D$155, 'DFs (2)'!$M$21)-SUMIFS(Dados!$J$6:$J$155, Dados!$B$6:$B$155, "&lt;="&amp;('DFs (2)'!$J$20-8), Dados!$D$6:$D$155, 'DFs (2)'!$M$21)</f>
        <v>60</v>
      </c>
    </row>
    <row r="23" spans="2:13" x14ac:dyDescent="0.25">
      <c r="B23" s="16">
        <v>46025</v>
      </c>
      <c r="C23" s="17">
        <f t="shared" ref="C23:C51" si="1">F22</f>
        <v>-792.5</v>
      </c>
      <c r="D23" s="17">
        <f>SUMIF(Dados!$B$6:$B$155,'DFs (2)'!$B23-2,Dados!$F$6:$F$155)</f>
        <v>700</v>
      </c>
      <c r="E23" s="17">
        <f>-(5%*SUMIF(Dados!$B$6:$B$155,'DFs (2)'!$B23,Dados!$F$6:$F$155)+SUMIF(Dados!$B$6:$B$155,'DFs (2)'!$B23,Dados!$K$6:$K$155)+SUMIF(Dados!$G$6:$G$155,'DFs (2)'!$B23,Dados!$H$6:$H$155)+SUMIF(Dados!$B$6:$B$155,'DFs (2)'!$B23-7,Dados!$I$6:$I$155)+SUMIF(Dados!$B$6:$B$155,'DFs (2)'!$B23-7,Dados!$J$6:$J$155))</f>
        <v>-1122.5</v>
      </c>
      <c r="F23" s="17">
        <f t="shared" si="0"/>
        <v>-1215</v>
      </c>
      <c r="I23" s="20" t="s">
        <v>36</v>
      </c>
      <c r="J23" s="18">
        <f>SUMIF(Dados!$B$6:$B$155,'DFs (2)'!$J$20-2,Dados!$F$6:$F$155)</f>
        <v>2450</v>
      </c>
      <c r="L23" s="19" t="s">
        <v>32</v>
      </c>
      <c r="M23" s="18"/>
    </row>
    <row r="24" spans="2:13" x14ac:dyDescent="0.25">
      <c r="B24" s="16">
        <v>46026</v>
      </c>
      <c r="C24" s="17">
        <f t="shared" si="1"/>
        <v>-1215</v>
      </c>
      <c r="D24" s="17">
        <f>SUMIF(Dados!$B$6:$B$155,'DFs (2)'!$B24-2,Dados!$F$6:$F$155)</f>
        <v>1150</v>
      </c>
      <c r="E24" s="17">
        <f>-(5%*SUMIF(Dados!$B$6:$B$155,'DFs (2)'!$B24,Dados!$F$6:$F$155)+SUMIF(Dados!$B$6:$B$155,'DFs (2)'!$B24,Dados!$K$6:$K$155)+SUMIF(Dados!$G$6:$G$155,'DFs (2)'!$B24,Dados!$H$6:$H$155)+SUMIF(Dados!$B$6:$B$155,'DFs (2)'!$B24-7,Dados!$I$6:$I$155)+SUMIF(Dados!$B$6:$B$155,'DFs (2)'!$B24-7,Dados!$J$6:$J$155))</f>
        <v>-1130</v>
      </c>
      <c r="F24" s="17">
        <f t="shared" si="0"/>
        <v>-1195</v>
      </c>
      <c r="I24" s="19" t="s">
        <v>37</v>
      </c>
      <c r="J24" s="18"/>
      <c r="L24" s="20" t="s">
        <v>36</v>
      </c>
      <c r="M24" s="18">
        <f>SUMIFS(Dados!$F$6:$F$155,Dados!$B$6:$B$155, 'DFs (2)'!$J$20-2,Dados!$D$6:$D$155, 'DFs (2)'!$M$21)</f>
        <v>400</v>
      </c>
    </row>
    <row r="25" spans="2:13" x14ac:dyDescent="0.25">
      <c r="B25" s="16">
        <v>46027</v>
      </c>
      <c r="C25" s="17">
        <f t="shared" si="1"/>
        <v>-1195</v>
      </c>
      <c r="D25" s="17">
        <f>SUMIF(Dados!$B$6:$B$155,'DFs (2)'!$B25-2,Dados!$F$6:$F$155)</f>
        <v>2450</v>
      </c>
      <c r="E25" s="17">
        <f>-(5%*SUMIF(Dados!$B$6:$B$155,'DFs (2)'!$B25,Dados!$F$6:$F$155)+SUMIF(Dados!$B$6:$B$155,'DFs (2)'!$B25,Dados!$K$6:$K$155)+SUMIF(Dados!$G$6:$G$155,'DFs (2)'!$B25,Dados!$H$6:$H$155)+SUMIF(Dados!$B$6:$B$155,'DFs (2)'!$B25-7,Dados!$I$6:$I$155)+SUMIF(Dados!$B$6:$B$155,'DFs (2)'!$B25-7,Dados!$J$6:$J$155))</f>
        <v>-897.5</v>
      </c>
      <c r="F25" s="17">
        <f t="shared" si="0"/>
        <v>357.5</v>
      </c>
      <c r="I25" s="20" t="s">
        <v>38</v>
      </c>
      <c r="J25" s="18">
        <f>-(5%*SUMIF(Dados!$B$6:$B$155,'DFs (2)'!$J$20,Dados!$F$6:$F$155))</f>
        <v>-67.5</v>
      </c>
      <c r="L25" s="19" t="s">
        <v>37</v>
      </c>
      <c r="M25" s="18"/>
    </row>
    <row r="26" spans="2:13" x14ac:dyDescent="0.25">
      <c r="B26" s="16">
        <v>46028</v>
      </c>
      <c r="C26" s="17">
        <f t="shared" si="1"/>
        <v>357.5</v>
      </c>
      <c r="D26" s="17">
        <f>SUMIF(Dados!$B$6:$B$155,'DFs (2)'!$B26-2,Dados!$F$6:$F$155)</f>
        <v>2600</v>
      </c>
      <c r="E26" s="17">
        <f>-(5%*SUMIF(Dados!$B$6:$B$155,'DFs (2)'!$B26,Dados!$F$6:$F$155)+SUMIF(Dados!$B$6:$B$155,'DFs (2)'!$B26,Dados!$K$6:$K$155)+SUMIF(Dados!$G$6:$G$155,'DFs (2)'!$B26,Dados!$H$6:$H$155)+SUMIF(Dados!$B$6:$B$155,'DFs (2)'!$B26-7,Dados!$I$6:$I$155)+SUMIF(Dados!$B$6:$B$155,'DFs (2)'!$B26-7,Dados!$J$6:$J$155))</f>
        <v>-1540</v>
      </c>
      <c r="F26" s="17">
        <f t="shared" si="0"/>
        <v>1417.5</v>
      </c>
      <c r="I26" s="20" t="s">
        <v>20</v>
      </c>
      <c r="J26" s="18">
        <f>-SUMIF(Dados!$B$6:$B$155,'DFs (2)'!$J$20,Dados!$K$6:$K$155)</f>
        <v>-550</v>
      </c>
      <c r="L26" s="20" t="s">
        <v>38</v>
      </c>
      <c r="M26" s="18">
        <f>-(5%*SUMIFS(Dados!$F$6:$F$155,Dados!$B$6:$B$155, 'DFs (2)'!$J$20,Dados!$D$6:$D$155, 'DFs (2)'!$M$21))</f>
        <v>0</v>
      </c>
    </row>
    <row r="27" spans="2:13" x14ac:dyDescent="0.25">
      <c r="B27" s="16">
        <v>46029</v>
      </c>
      <c r="C27" s="17">
        <f t="shared" si="1"/>
        <v>1417.5</v>
      </c>
      <c r="D27" s="17">
        <f>SUMIF(Dados!$B$6:$B$155,'DFs (2)'!$B27-2,Dados!$F$6:$F$155)</f>
        <v>1350</v>
      </c>
      <c r="E27" s="17">
        <f>-(5%*SUMIF(Dados!$B$6:$B$155,'DFs (2)'!$B27,Dados!$F$6:$F$155)+SUMIF(Dados!$B$6:$B$155,'DFs (2)'!$B27,Dados!$K$6:$K$155)+SUMIF(Dados!$G$6:$G$155,'DFs (2)'!$B27,Dados!$H$6:$H$155)+SUMIF(Dados!$B$6:$B$155,'DFs (2)'!$B27-7,Dados!$I$6:$I$155)+SUMIF(Dados!$B$6:$B$155,'DFs (2)'!$B27-7,Dados!$J$6:$J$155))</f>
        <v>-122.5</v>
      </c>
      <c r="F27" s="17">
        <f t="shared" si="0"/>
        <v>2645</v>
      </c>
      <c r="I27" s="20" t="s">
        <v>39</v>
      </c>
      <c r="J27" s="18">
        <f>-SUMIF(Dados!$G$6:$G$155,'DFs (2)'!$J$20,Dados!$H$6:$H$155)</f>
        <v>-280</v>
      </c>
      <c r="L27" s="20" t="s">
        <v>20</v>
      </c>
      <c r="M27" s="18">
        <f>-SUMIFS(Dados!$K$6:$K$155,Dados!$B$6:$B$155, 'DFs (2)'!$J$20, Dados!$D$6:$D$155, 'DFs (2)'!$M$21)</f>
        <v>0</v>
      </c>
    </row>
    <row r="28" spans="2:13" x14ac:dyDescent="0.25">
      <c r="B28" s="16">
        <v>46030</v>
      </c>
      <c r="C28" s="17">
        <f t="shared" si="1"/>
        <v>2645</v>
      </c>
      <c r="D28" s="17">
        <f>SUMIF(Dados!$B$6:$B$155,'DFs (2)'!$B28-2,Dados!$F$6:$F$155)</f>
        <v>2800</v>
      </c>
      <c r="E28" s="17">
        <f>-(5%*SUMIF(Dados!$B$6:$B$155,'DFs (2)'!$B28,Dados!$F$6:$F$155)+SUMIF(Dados!$B$6:$B$155,'DFs (2)'!$B28,Dados!$K$6:$K$155)+SUMIF(Dados!$G$6:$G$155,'DFs (2)'!$B28,Dados!$H$6:$H$155)+SUMIF(Dados!$B$6:$B$155,'DFs (2)'!$B28-7,Dados!$I$6:$I$155)+SUMIF(Dados!$B$6:$B$155,'DFs (2)'!$B28-7,Dados!$J$6:$J$155))</f>
        <v>-100</v>
      </c>
      <c r="F28" s="17">
        <f t="shared" si="0"/>
        <v>5345</v>
      </c>
      <c r="I28" s="20" t="s">
        <v>40</v>
      </c>
      <c r="J28" s="18">
        <f>-SUMIF(Dados!$B$6:$B$155,'DFs (2)'!$J$20-7,Dados!$I$6:$I$155)</f>
        <v>0</v>
      </c>
      <c r="L28" s="20" t="s">
        <v>39</v>
      </c>
      <c r="M28" s="18">
        <f>-SUMIFS(Dados!$H$6:$H$155,Dados!$G$6:$G$155, 'DFs (2)'!$J$20,Dados!$D$6:$D$155, 'DFs (2)'!$M$21)</f>
        <v>0</v>
      </c>
    </row>
    <row r="29" spans="2:13" x14ac:dyDescent="0.25">
      <c r="B29" s="16">
        <v>46031</v>
      </c>
      <c r="C29" s="17">
        <f t="shared" si="1"/>
        <v>5345</v>
      </c>
      <c r="D29" s="17">
        <f>SUMIF(Dados!$B$6:$B$155,'DFs (2)'!$B29-2,Dados!$F$6:$F$155)</f>
        <v>450</v>
      </c>
      <c r="E29" s="17">
        <f>-(5%*SUMIF(Dados!$B$6:$B$155,'DFs (2)'!$B29,Dados!$F$6:$F$155)+SUMIF(Dados!$B$6:$B$155,'DFs (2)'!$B29,Dados!$K$6:$K$155)+SUMIF(Dados!$G$6:$G$155,'DFs (2)'!$B29,Dados!$H$6:$H$155)+SUMIF(Dados!$B$6:$B$155,'DFs (2)'!$B29-7,Dados!$I$6:$I$155)+SUMIF(Dados!$B$6:$B$155,'DFs (2)'!$B29-7,Dados!$J$6:$J$155))</f>
        <v>-733</v>
      </c>
      <c r="F29" s="17">
        <f t="shared" si="0"/>
        <v>5062</v>
      </c>
      <c r="I29" s="20" t="s">
        <v>8</v>
      </c>
      <c r="J29" s="18">
        <f>-SUMIF(Dados!$B$6:$B$155,'DFs (2)'!$J$20-7,Dados!$J$6:$J$155)</f>
        <v>0</v>
      </c>
      <c r="L29" s="20" t="s">
        <v>40</v>
      </c>
      <c r="M29" s="18">
        <f>-SUMIFS(Dados!$I$6:$I$155,Dados!$B$6:$B$155, 'DFs (2)'!$J$20-7,Dados!$D$6:$D$155, 'DFs (2)'!$M$21)</f>
        <v>0</v>
      </c>
    </row>
    <row r="30" spans="2:13" x14ac:dyDescent="0.25">
      <c r="B30" s="16">
        <v>46032</v>
      </c>
      <c r="C30" s="17">
        <f t="shared" si="1"/>
        <v>5062</v>
      </c>
      <c r="D30" s="17">
        <f>SUMIF(Dados!$B$6:$B$155,'DFs (2)'!$B30-2,Dados!$F$6:$F$155)</f>
        <v>0</v>
      </c>
      <c r="E30" s="17">
        <f>-(5%*SUMIF(Dados!$B$6:$B$155,'DFs (2)'!$B30,Dados!$F$6:$F$155)+SUMIF(Dados!$B$6:$B$155,'DFs (2)'!$B30,Dados!$K$6:$K$155)+SUMIF(Dados!$G$6:$G$155,'DFs (2)'!$B30,Dados!$H$6:$H$155)+SUMIF(Dados!$B$6:$B$155,'DFs (2)'!$B30-7,Dados!$I$6:$I$155)+SUMIF(Dados!$B$6:$B$155,'DFs (2)'!$B30-7,Dados!$J$6:$J$155))</f>
        <v>-742</v>
      </c>
      <c r="F30" s="17">
        <f t="shared" si="0"/>
        <v>4320</v>
      </c>
      <c r="I30" s="19" t="s">
        <v>41</v>
      </c>
      <c r="J30" s="18">
        <f>SUM(J21:J29)</f>
        <v>357.5</v>
      </c>
      <c r="L30" s="20" t="s">
        <v>8</v>
      </c>
      <c r="M30" s="18">
        <f>-SUMIFS(Dados!$J$6:$J$155,Dados!$B$6:$B$155, 'DFs (2)'!$J$20-7,Dados!$D$6:$D$155, 'DFs (2)'!$M$21)</f>
        <v>0</v>
      </c>
    </row>
    <row r="31" spans="2:13" x14ac:dyDescent="0.25">
      <c r="B31" s="16">
        <v>46033</v>
      </c>
      <c r="C31" s="17">
        <f t="shared" si="1"/>
        <v>4320</v>
      </c>
      <c r="D31" s="17">
        <f>SUMIF(Dados!$B$6:$B$155,'DFs (2)'!$B31-2,Dados!$F$6:$F$155)</f>
        <v>1000</v>
      </c>
      <c r="E31" s="17">
        <f>-(5%*SUMIF(Dados!$B$6:$B$155,'DFs (2)'!$B31,Dados!$F$6:$F$155)+SUMIF(Dados!$B$6:$B$155,'DFs (2)'!$B31,Dados!$K$6:$K$155)+SUMIF(Dados!$G$6:$G$155,'DFs (2)'!$B31,Dados!$H$6:$H$155)+SUMIF(Dados!$B$6:$B$155,'DFs (2)'!$B31-7,Dados!$I$6:$I$155)+SUMIF(Dados!$B$6:$B$155,'DFs (2)'!$B31-7,Dados!$J$6:$J$155))</f>
        <v>-796</v>
      </c>
      <c r="F31" s="17">
        <f t="shared" si="0"/>
        <v>4524</v>
      </c>
      <c r="L31" s="19" t="s">
        <v>41</v>
      </c>
      <c r="M31" s="18">
        <f>SUM(M22:M30)</f>
        <v>460</v>
      </c>
    </row>
    <row r="32" spans="2:13" x14ac:dyDescent="0.25">
      <c r="B32" s="16">
        <v>46034</v>
      </c>
      <c r="C32" s="17">
        <f t="shared" si="1"/>
        <v>4524</v>
      </c>
      <c r="D32" s="17">
        <f>SUMIF(Dados!$B$6:$B$155,'DFs (2)'!$B32-2,Dados!$F$6:$F$155)</f>
        <v>1200</v>
      </c>
      <c r="E32" s="17">
        <f>-(5%*SUMIF(Dados!$B$6:$B$155,'DFs (2)'!$B32,Dados!$F$6:$F$155)+SUMIF(Dados!$B$6:$B$155,'DFs (2)'!$B32,Dados!$K$6:$K$155)+SUMIF(Dados!$G$6:$G$155,'DFs (2)'!$B32,Dados!$H$6:$H$155)+SUMIF(Dados!$B$6:$B$155,'DFs (2)'!$B32-7,Dados!$I$6:$I$155)+SUMIF(Dados!$B$6:$B$155,'DFs (2)'!$B32-7,Dados!$J$6:$J$155))</f>
        <v>-1254.5</v>
      </c>
      <c r="F32" s="17">
        <f t="shared" si="0"/>
        <v>4469.5</v>
      </c>
    </row>
    <row r="33" spans="2:10" ht="15.75" x14ac:dyDescent="0.25">
      <c r="B33" s="16">
        <v>46035</v>
      </c>
      <c r="C33" s="17">
        <f t="shared" si="1"/>
        <v>4469.5</v>
      </c>
      <c r="D33" s="17">
        <f>SUMIF(Dados!$B$6:$B$155,'DFs (2)'!$B33-2,Dados!$F$6:$F$155)</f>
        <v>800</v>
      </c>
      <c r="E33" s="17">
        <f>-(5%*SUMIF(Dados!$B$6:$B$155,'DFs (2)'!$B33,Dados!$F$6:$F$155)+SUMIF(Dados!$B$6:$B$155,'DFs (2)'!$B33,Dados!$K$6:$K$155)+SUMIF(Dados!$G$6:$G$155,'DFs (2)'!$B33,Dados!$H$6:$H$155)+SUMIF(Dados!$B$6:$B$155,'DFs (2)'!$B33-7,Dados!$I$6:$I$155)+SUMIF(Dados!$B$6:$B$155,'DFs (2)'!$B33-7,Dados!$J$6:$J$155))</f>
        <v>-2193.5</v>
      </c>
      <c r="F33" s="17">
        <f t="shared" si="0"/>
        <v>3076</v>
      </c>
      <c r="I33" s="36" t="s">
        <v>44</v>
      </c>
      <c r="J33" s="36"/>
    </row>
    <row r="34" spans="2:10" ht="14.25" thickBot="1" x14ac:dyDescent="0.3">
      <c r="B34" s="16">
        <v>46036</v>
      </c>
      <c r="C34" s="17">
        <f t="shared" si="1"/>
        <v>3076</v>
      </c>
      <c r="D34" s="17">
        <f>SUMIF(Dados!$B$6:$B$155,'DFs (2)'!$B34-2,Dados!$F$6:$F$155)</f>
        <v>2250</v>
      </c>
      <c r="E34" s="17">
        <f>-(5%*SUMIF(Dados!$B$6:$B$155,'DFs (2)'!$B34,Dados!$F$6:$F$155)+SUMIF(Dados!$B$6:$B$155,'DFs (2)'!$B34,Dados!$K$6:$K$155)+SUMIF(Dados!$G$6:$G$155,'DFs (2)'!$B34,Dados!$H$6:$H$155)+SUMIF(Dados!$B$6:$B$155,'DFs (2)'!$B34-7,Dados!$I$6:$I$155)+SUMIF(Dados!$B$6:$B$155,'DFs (2)'!$B34-7,Dados!$J$6:$J$155))</f>
        <v>-1194</v>
      </c>
      <c r="F34" s="17">
        <f t="shared" si="0"/>
        <v>4132</v>
      </c>
      <c r="I34" s="19" t="s">
        <v>42</v>
      </c>
      <c r="J34" s="24">
        <f>$J$20</f>
        <v>46027</v>
      </c>
    </row>
    <row r="35" spans="2:10" ht="14.25" thickBot="1" x14ac:dyDescent="0.3">
      <c r="B35" s="16">
        <v>46037</v>
      </c>
      <c r="C35" s="17">
        <f t="shared" si="1"/>
        <v>4132</v>
      </c>
      <c r="D35" s="17">
        <f>SUMIF(Dados!$B$6:$B$155,'DFs (2)'!$B35-2,Dados!$F$6:$F$155)</f>
        <v>3350</v>
      </c>
      <c r="E35" s="17">
        <f>-(5%*SUMIF(Dados!$B$6:$B$155,'DFs (2)'!$B35,Dados!$F$6:$F$155)+SUMIF(Dados!$B$6:$B$155,'DFs (2)'!$B35,Dados!$K$6:$K$155)+SUMIF(Dados!$G$6:$G$155,'DFs (2)'!$B35,Dados!$H$6:$H$155)+SUMIF(Dados!$B$6:$B$155,'DFs (2)'!$B35-7,Dados!$I$6:$I$155)+SUMIF(Dados!$B$6:$B$155,'DFs (2)'!$B35-7,Dados!$J$6:$J$155))</f>
        <v>-1367.5</v>
      </c>
      <c r="F35" s="17">
        <f t="shared" si="0"/>
        <v>6114.5</v>
      </c>
      <c r="I35" s="21" t="s">
        <v>1</v>
      </c>
      <c r="J35" s="25" t="s">
        <v>10</v>
      </c>
    </row>
    <row r="36" spans="2:10" x14ac:dyDescent="0.25">
      <c r="B36" s="16">
        <v>46038</v>
      </c>
      <c r="C36" s="17">
        <f t="shared" si="1"/>
        <v>6114.5</v>
      </c>
      <c r="D36" s="17">
        <f>SUMIF(Dados!$B$6:$B$155,'DFs (2)'!$B36-2,Dados!$F$6:$F$155)</f>
        <v>2300</v>
      </c>
      <c r="E36" s="17">
        <f>-(5%*SUMIF(Dados!$B$6:$B$155,'DFs (2)'!$B36,Dados!$F$6:$F$155)+SUMIF(Dados!$B$6:$B$155,'DFs (2)'!$B36,Dados!$K$6:$K$155)+SUMIF(Dados!$G$6:$G$155,'DFs (2)'!$B36,Dados!$H$6:$H$155)+SUMIF(Dados!$B$6:$B$155,'DFs (2)'!$B36-7,Dados!$I$6:$I$155)+SUMIF(Dados!$B$6:$B$155,'DFs (2)'!$B36-7,Dados!$J$6:$J$155))</f>
        <v>-1114</v>
      </c>
      <c r="F36" s="17">
        <f t="shared" si="0"/>
        <v>7300.5</v>
      </c>
      <c r="I36" s="19" t="s">
        <v>35</v>
      </c>
      <c r="J36" s="22">
        <f>SUMIFS(Dados!$F$6:$F$155,Dados!$B$6:$B$155,"&lt;="&amp;($J$20-3),Dados!$C$6:$C$155,$J$35)-0.05*SUMIFS(Dados!$F$6:$F$155,Dados!$B$6:$B$155,"&lt;="&amp;($J$20-1),Dados!$C$6:$C$155,$J$35)-SUMIFS(Dados!$K$6:$K$155,Dados!$B$6:$B$155,"&lt;="&amp;($J$20-1),Dados!$C$6:$C$155,$J$35)-SUMIFS(Dados!$H$6:$H$155,Dados!$G$6:$G$155,"&lt;="&amp;($J$20-1),Dados!$C$6:$C$155,$J$35)-SUMIFS(Dados!$I$6:$I$155,Dados!$B$6:$B$155,"&lt;="&amp;($J$20-8),Dados!$C$6:$C$155,$J$35)-SUMIFS(Dados!$J$6:$J$155,Dados!$B$6:$B$155,"&lt;="&amp;($J$20-8),Dados!$C$6:$C$155,$J$35)</f>
        <v>-72.5</v>
      </c>
    </row>
    <row r="37" spans="2:10" x14ac:dyDescent="0.25">
      <c r="B37" s="16">
        <v>46039</v>
      </c>
      <c r="C37" s="17">
        <f t="shared" si="1"/>
        <v>7300.5</v>
      </c>
      <c r="D37" s="17">
        <f>SUMIF(Dados!$B$6:$B$155,'DFs (2)'!$B37-2,Dados!$F$6:$F$155)</f>
        <v>1850</v>
      </c>
      <c r="E37" s="17">
        <f>-(5%*SUMIF(Dados!$B$6:$B$155,'DFs (2)'!$B37,Dados!$F$6:$F$155)+SUMIF(Dados!$B$6:$B$155,'DFs (2)'!$B37,Dados!$K$6:$K$155)+SUMIF(Dados!$G$6:$G$155,'DFs (2)'!$B37,Dados!$H$6:$H$155)+SUMIF(Dados!$B$6:$B$155,'DFs (2)'!$B37-7,Dados!$I$6:$I$155)+SUMIF(Dados!$B$6:$B$155,'DFs (2)'!$B37-7,Dados!$J$6:$J$155))</f>
        <v>-1353.5</v>
      </c>
      <c r="F37" s="17">
        <f t="shared" si="0"/>
        <v>7797</v>
      </c>
      <c r="I37" s="19" t="s">
        <v>32</v>
      </c>
      <c r="J37" s="18"/>
    </row>
    <row r="38" spans="2:10" x14ac:dyDescent="0.25">
      <c r="B38" s="16">
        <v>46040</v>
      </c>
      <c r="C38" s="17">
        <f t="shared" si="1"/>
        <v>7797</v>
      </c>
      <c r="D38" s="17">
        <f>SUMIF(Dados!$B$6:$B$155,'DFs (2)'!$B38-2,Dados!$F$6:$F$155)</f>
        <v>2000</v>
      </c>
      <c r="E38" s="17">
        <f>-(5%*SUMIF(Dados!$B$6:$B$155,'DFs (2)'!$B38,Dados!$F$6:$F$155)+SUMIF(Dados!$B$6:$B$155,'DFs (2)'!$B38,Dados!$K$6:$K$155)+SUMIF(Dados!$G$6:$G$155,'DFs (2)'!$B38,Dados!$H$6:$H$155)+SUMIF(Dados!$B$6:$B$155,'DFs (2)'!$B38-7,Dados!$I$6:$I$155)+SUMIF(Dados!$B$6:$B$155,'DFs (2)'!$B38-7,Dados!$J$6:$J$155))</f>
        <v>-827</v>
      </c>
      <c r="F38" s="17">
        <f t="shared" si="0"/>
        <v>8970</v>
      </c>
      <c r="I38" s="20" t="s">
        <v>36</v>
      </c>
      <c r="J38" s="18">
        <f>SUMIFS(Dados!$F$6:$F$155,Dados!$B$6:$B$155,'DFs (2)'!$J$20-2,Dados!$C$6:$C$155,'DFs (2)'!$J$35)</f>
        <v>600</v>
      </c>
    </row>
    <row r="39" spans="2:10" x14ac:dyDescent="0.25">
      <c r="B39" s="16">
        <v>46041</v>
      </c>
      <c r="C39" s="17">
        <f t="shared" si="1"/>
        <v>8970</v>
      </c>
      <c r="D39" s="17">
        <f>SUMIF(Dados!$B$6:$B$155,'DFs (2)'!$B39-2,Dados!$F$6:$F$155)</f>
        <v>2050</v>
      </c>
      <c r="E39" s="17">
        <f>-(5%*SUMIF(Dados!$B$6:$B$155,'DFs (2)'!$B39,Dados!$F$6:$F$155)+SUMIF(Dados!$B$6:$B$155,'DFs (2)'!$B39,Dados!$K$6:$K$155)+SUMIF(Dados!$G$6:$G$155,'DFs (2)'!$B39,Dados!$H$6:$H$155)+SUMIF(Dados!$B$6:$B$155,'DFs (2)'!$B39-7,Dados!$I$6:$I$155)+SUMIF(Dados!$B$6:$B$155,'DFs (2)'!$B39-7,Dados!$J$6:$J$155))</f>
        <v>-1480</v>
      </c>
      <c r="F39" s="17">
        <f t="shared" si="0"/>
        <v>9540</v>
      </c>
      <c r="I39" s="19" t="s">
        <v>37</v>
      </c>
      <c r="J39" s="18"/>
    </row>
    <row r="40" spans="2:10" x14ac:dyDescent="0.25">
      <c r="B40" s="16">
        <v>46042</v>
      </c>
      <c r="C40" s="17">
        <f t="shared" si="1"/>
        <v>9540</v>
      </c>
      <c r="D40" s="17">
        <f>SUMIF(Dados!$B$6:$B$155,'DFs (2)'!$B40-2,Dados!$F$6:$F$155)</f>
        <v>800</v>
      </c>
      <c r="E40" s="17">
        <f>-(5%*SUMIF(Dados!$B$6:$B$155,'DFs (2)'!$B40,Dados!$F$6:$F$155)+SUMIF(Dados!$B$6:$B$155,'DFs (2)'!$B40,Dados!$K$6:$K$155)+SUMIF(Dados!$G$6:$G$155,'DFs (2)'!$B40,Dados!$H$6:$H$155)+SUMIF(Dados!$B$6:$B$155,'DFs (2)'!$B40-7,Dados!$I$6:$I$155)+SUMIF(Dados!$B$6:$B$155,'DFs (2)'!$B40-7,Dados!$J$6:$J$155))</f>
        <v>-2098.5</v>
      </c>
      <c r="F40" s="17">
        <f t="shared" si="0"/>
        <v>8241.5</v>
      </c>
      <c r="I40" s="20" t="s">
        <v>38</v>
      </c>
      <c r="J40" s="18">
        <f>-(5%*SUMIFS(Dados!$F$6:$F$155,Dados!$B$6:$B$155, 'DFs (2)'!$J$20,Dados!$C$6:$C$155, 'DFs (2)'!$J$35))</f>
        <v>-35</v>
      </c>
    </row>
    <row r="41" spans="2:10" x14ac:dyDescent="0.25">
      <c r="B41" s="16">
        <v>46043</v>
      </c>
      <c r="C41" s="17">
        <f t="shared" si="1"/>
        <v>8241.5</v>
      </c>
      <c r="D41" s="17">
        <f>SUMIF(Dados!$B$6:$B$155,'DFs (2)'!$B41-2,Dados!$F$6:$F$155)</f>
        <v>1900</v>
      </c>
      <c r="E41" s="17">
        <f>-(5%*SUMIF(Dados!$B$6:$B$155,'DFs (2)'!$B41,Dados!$F$6:$F$155)+SUMIF(Dados!$B$6:$B$155,'DFs (2)'!$B41,Dados!$K$6:$K$155)+SUMIF(Dados!$G$6:$G$155,'DFs (2)'!$B41,Dados!$H$6:$H$155)+SUMIF(Dados!$B$6:$B$155,'DFs (2)'!$B41-7,Dados!$I$6:$I$155)+SUMIF(Dados!$B$6:$B$155,'DFs (2)'!$B41-7,Dados!$J$6:$J$155))</f>
        <v>-1037.5</v>
      </c>
      <c r="F41" s="17">
        <f t="shared" si="0"/>
        <v>9104</v>
      </c>
      <c r="I41" s="20" t="s">
        <v>20</v>
      </c>
      <c r="J41" s="18">
        <f>-SUMIFS(Dados!$K$6:$K$155,Dados!$B$6:$B$155, 'DFs (2)'!$J$20,Dados!$C$6:$C$155, 'DFs (2)'!$J$35)</f>
        <v>-350</v>
      </c>
    </row>
    <row r="42" spans="2:10" x14ac:dyDescent="0.25">
      <c r="B42" s="16">
        <v>46044</v>
      </c>
      <c r="C42" s="17">
        <f t="shared" si="1"/>
        <v>9104</v>
      </c>
      <c r="D42" s="17">
        <f>SUMIF(Dados!$B$6:$B$155,'DFs (2)'!$B42-2,Dados!$F$6:$F$155)</f>
        <v>2450</v>
      </c>
      <c r="E42" s="17">
        <f>-(5%*SUMIF(Dados!$B$6:$B$155,'DFs (2)'!$B42,Dados!$F$6:$F$155)+SUMIF(Dados!$B$6:$B$155,'DFs (2)'!$B42,Dados!$K$6:$K$155)+SUMIF(Dados!$G$6:$G$155,'DFs (2)'!$B42,Dados!$H$6:$H$155)+SUMIF(Dados!$B$6:$B$155,'DFs (2)'!$B42-7,Dados!$I$6:$I$155)+SUMIF(Dados!$B$6:$B$155,'DFs (2)'!$B42-7,Dados!$J$6:$J$155))</f>
        <v>-690.5</v>
      </c>
      <c r="F42" s="17">
        <f t="shared" si="0"/>
        <v>10863.5</v>
      </c>
      <c r="I42" s="20" t="s">
        <v>39</v>
      </c>
      <c r="J42" s="18">
        <f>-SUMIFS(Dados!$H$6:$H$155,Dados!$G$6:$G$155, 'DFs (2)'!$J$20,Dados!$C$6:$C$155, 'DFs (2)'!$J$35)</f>
        <v>0</v>
      </c>
    </row>
    <row r="43" spans="2:10" x14ac:dyDescent="0.25">
      <c r="B43" s="16">
        <v>46045</v>
      </c>
      <c r="C43" s="17">
        <f t="shared" si="1"/>
        <v>10863.5</v>
      </c>
      <c r="D43" s="17">
        <f>SUMIF(Dados!$B$6:$B$155,'DFs (2)'!$B43-2,Dados!$F$6:$F$155)</f>
        <v>1650</v>
      </c>
      <c r="E43" s="17">
        <f>-(5%*SUMIF(Dados!$B$6:$B$155,'DFs (2)'!$B43,Dados!$F$6:$F$155)+SUMIF(Dados!$B$6:$B$155,'DFs (2)'!$B43,Dados!$K$6:$K$155)+SUMIF(Dados!$G$6:$G$155,'DFs (2)'!$B43,Dados!$H$6:$H$155)+SUMIF(Dados!$B$6:$B$155,'DFs (2)'!$B43-7,Dados!$I$6:$I$155)+SUMIF(Dados!$B$6:$B$155,'DFs (2)'!$B43-7,Dados!$J$6:$J$155))</f>
        <v>-1911.5</v>
      </c>
      <c r="F43" s="17">
        <f t="shared" si="0"/>
        <v>10602</v>
      </c>
      <c r="I43" s="20" t="s">
        <v>40</v>
      </c>
      <c r="J43" s="18">
        <f>-SUMIFS(Dados!$I$6:$I$155,Dados!$B$6:$B$155, 'DFs (2)'!$J$20-7,Dados!$C$6:$C$155, 'DFs (2)'!$J$35)</f>
        <v>0</v>
      </c>
    </row>
    <row r="44" spans="2:10" x14ac:dyDescent="0.25">
      <c r="B44" s="16">
        <v>46046</v>
      </c>
      <c r="C44" s="17">
        <f t="shared" si="1"/>
        <v>10602</v>
      </c>
      <c r="D44" s="17">
        <f>SUMIF(Dados!$B$6:$B$155,'DFs (2)'!$B44-2,Dados!$F$6:$F$155)</f>
        <v>1050</v>
      </c>
      <c r="E44" s="17">
        <f>-(5%*SUMIF(Dados!$B$6:$B$155,'DFs (2)'!$B44,Dados!$F$6:$F$155)+SUMIF(Dados!$B$6:$B$155,'DFs (2)'!$B44,Dados!$K$6:$K$155)+SUMIF(Dados!$G$6:$G$155,'DFs (2)'!$B44,Dados!$H$6:$H$155)+SUMIF(Dados!$B$6:$B$155,'DFs (2)'!$B44-7,Dados!$I$6:$I$155)+SUMIF(Dados!$B$6:$B$155,'DFs (2)'!$B44-7,Dados!$J$6:$J$155))</f>
        <v>-861</v>
      </c>
      <c r="F44" s="17">
        <f t="shared" si="0"/>
        <v>10791</v>
      </c>
      <c r="I44" s="20" t="s">
        <v>8</v>
      </c>
      <c r="J44" s="18">
        <f>-SUMIFS(Dados!$J$6:$J$155,Dados!$B$6:$B$155, 'DFs (2)'!$J$20-7,Dados!$C$6:$C$155, 'DFs (2)'!$J$35)</f>
        <v>0</v>
      </c>
    </row>
    <row r="45" spans="2:10" x14ac:dyDescent="0.25">
      <c r="B45" s="16">
        <v>46047</v>
      </c>
      <c r="C45" s="17">
        <f t="shared" si="1"/>
        <v>10791</v>
      </c>
      <c r="D45" s="17">
        <f>SUMIF(Dados!$B$6:$B$155,'DFs (2)'!$B45-2,Dados!$F$6:$F$155)</f>
        <v>2250</v>
      </c>
      <c r="E45" s="17">
        <f>-(5%*SUMIF(Dados!$B$6:$B$155,'DFs (2)'!$B45,Dados!$F$6:$F$155)+SUMIF(Dados!$B$6:$B$155,'DFs (2)'!$B45,Dados!$K$6:$K$155)+SUMIF(Dados!$G$6:$G$155,'DFs (2)'!$B45,Dados!$H$6:$H$155)+SUMIF(Dados!$B$6:$B$155,'DFs (2)'!$B45-7,Dados!$I$6:$I$155)+SUMIF(Dados!$B$6:$B$155,'DFs (2)'!$B45-7,Dados!$J$6:$J$155))</f>
        <v>-1829</v>
      </c>
      <c r="F45" s="17">
        <f t="shared" si="0"/>
        <v>11212</v>
      </c>
      <c r="I45" s="19" t="s">
        <v>41</v>
      </c>
      <c r="J45" s="18">
        <f>SUM(J36:J44)</f>
        <v>142.5</v>
      </c>
    </row>
    <row r="46" spans="2:10" x14ac:dyDescent="0.25">
      <c r="B46" s="16">
        <v>46048</v>
      </c>
      <c r="C46" s="17">
        <f t="shared" si="1"/>
        <v>11212</v>
      </c>
      <c r="D46" s="17">
        <f>SUMIF(Dados!$B$6:$B$155,'DFs (2)'!$B46-2,Dados!$F$6:$F$155)</f>
        <v>1300</v>
      </c>
      <c r="E46" s="17">
        <f>-(5%*SUMIF(Dados!$B$6:$B$155,'DFs (2)'!$B46,Dados!$F$6:$F$155)+SUMIF(Dados!$B$6:$B$155,'DFs (2)'!$B46,Dados!$K$6:$K$155)+SUMIF(Dados!$G$6:$G$155,'DFs (2)'!$B46,Dados!$H$6:$H$155)+SUMIF(Dados!$B$6:$B$155,'DFs (2)'!$B46-7,Dados!$I$6:$I$155)+SUMIF(Dados!$B$6:$B$155,'DFs (2)'!$B46-7,Dados!$J$6:$J$155))</f>
        <v>-1666.5</v>
      </c>
      <c r="F46" s="17">
        <f t="shared" si="0"/>
        <v>10845.5</v>
      </c>
    </row>
    <row r="47" spans="2:10" x14ac:dyDescent="0.25">
      <c r="B47" s="16">
        <v>46049</v>
      </c>
      <c r="C47" s="17">
        <f t="shared" si="1"/>
        <v>10845.5</v>
      </c>
      <c r="D47" s="17">
        <f>SUMIF(Dados!$B$6:$B$155,'DFs (2)'!$B47-2,Dados!$F$6:$F$155)</f>
        <v>2200</v>
      </c>
      <c r="E47" s="17">
        <f>-(5%*SUMIF(Dados!$B$6:$B$155,'DFs (2)'!$B47,Dados!$F$6:$F$155)+SUMIF(Dados!$B$6:$B$155,'DFs (2)'!$B47,Dados!$K$6:$K$155)+SUMIF(Dados!$G$6:$G$155,'DFs (2)'!$B47,Dados!$H$6:$H$155)+SUMIF(Dados!$B$6:$B$155,'DFs (2)'!$B47-7,Dados!$I$6:$I$155)+SUMIF(Dados!$B$6:$B$155,'DFs (2)'!$B47-7,Dados!$J$6:$J$155))</f>
        <v>-995</v>
      </c>
      <c r="F47" s="17">
        <f t="shared" si="0"/>
        <v>12050.5</v>
      </c>
    </row>
    <row r="48" spans="2:10" x14ac:dyDescent="0.25">
      <c r="B48" s="16">
        <v>46050</v>
      </c>
      <c r="C48" s="17">
        <f t="shared" si="1"/>
        <v>12050.5</v>
      </c>
      <c r="D48" s="17">
        <f>SUMIF(Dados!$B$6:$B$155,'DFs (2)'!$B48-2,Dados!$F$6:$F$155)</f>
        <v>1550</v>
      </c>
      <c r="E48" s="17">
        <f>-(5%*SUMIF(Dados!$B$6:$B$155,'DFs (2)'!$B48,Dados!$F$6:$F$155)+SUMIF(Dados!$B$6:$B$155,'DFs (2)'!$B48,Dados!$K$6:$K$155)+SUMIF(Dados!$G$6:$G$155,'DFs (2)'!$B48,Dados!$H$6:$H$155)+SUMIF(Dados!$B$6:$B$155,'DFs (2)'!$B48-7,Dados!$I$6:$I$155)+SUMIF(Dados!$B$6:$B$155,'DFs (2)'!$B48-7,Dados!$J$6:$J$155))</f>
        <v>-716</v>
      </c>
      <c r="F48" s="17">
        <f t="shared" si="0"/>
        <v>12884.5</v>
      </c>
    </row>
    <row r="49" spans="2:6" x14ac:dyDescent="0.25">
      <c r="B49" s="16">
        <v>46051</v>
      </c>
      <c r="C49" s="17">
        <f t="shared" si="1"/>
        <v>12884.5</v>
      </c>
      <c r="D49" s="17">
        <f>SUMIF(Dados!$B$6:$B$155,'DFs (2)'!$B49-2,Dados!$F$6:$F$155)</f>
        <v>1700</v>
      </c>
      <c r="E49" s="17">
        <f>-(5%*SUMIF(Dados!$B$6:$B$155,'DFs (2)'!$B49,Dados!$F$6:$F$155)+SUMIF(Dados!$B$6:$B$155,'DFs (2)'!$B49,Dados!$K$6:$K$155)+SUMIF(Dados!$G$6:$G$155,'DFs (2)'!$B49,Dados!$H$6:$H$155)+SUMIF(Dados!$B$6:$B$155,'DFs (2)'!$B49-7,Dados!$I$6:$I$155)+SUMIF(Dados!$B$6:$B$155,'DFs (2)'!$B49-7,Dados!$J$6:$J$155))</f>
        <v>-1264</v>
      </c>
      <c r="F49" s="17">
        <f t="shared" si="0"/>
        <v>13320.5</v>
      </c>
    </row>
    <row r="50" spans="2:6" x14ac:dyDescent="0.25">
      <c r="B50" s="16">
        <v>46052</v>
      </c>
      <c r="C50" s="17">
        <f t="shared" si="1"/>
        <v>13320.5</v>
      </c>
      <c r="D50" s="17">
        <f>SUMIF(Dados!$B$6:$B$155,'DFs (2)'!$B50-2,Dados!$F$6:$F$155)</f>
        <v>400</v>
      </c>
      <c r="E50" s="17">
        <f>-(5%*SUMIF(Dados!$B$6:$B$155,'DFs (2)'!$B50,Dados!$F$6:$F$155)+SUMIF(Dados!$B$6:$B$155,'DFs (2)'!$B50,Dados!$K$6:$K$155)+SUMIF(Dados!$G$6:$G$155,'DFs (2)'!$B50,Dados!$H$6:$H$155)+SUMIF(Dados!$B$6:$B$155,'DFs (2)'!$B50-7,Dados!$I$6:$I$155)+SUMIF(Dados!$B$6:$B$155,'DFs (2)'!$B50-7,Dados!$J$6:$J$155))</f>
        <v>-1276.5</v>
      </c>
      <c r="F50" s="17">
        <f t="shared" si="0"/>
        <v>12444</v>
      </c>
    </row>
    <row r="51" spans="2:6" x14ac:dyDescent="0.25">
      <c r="B51" s="16">
        <v>46053</v>
      </c>
      <c r="C51" s="17">
        <f t="shared" si="1"/>
        <v>12444</v>
      </c>
      <c r="D51" s="17">
        <f>SUMIF(Dados!$B$6:$B$155,'DFs (2)'!$B51-2,Dados!$F$6:$F$155)</f>
        <v>1900</v>
      </c>
      <c r="E51" s="17">
        <f>-(5%*SUMIF(Dados!$B$6:$B$155,'DFs (2)'!$B51,Dados!$F$6:$F$155)+SUMIF(Dados!$B$6:$B$155,'DFs (2)'!$B51,Dados!$K$6:$K$155)+SUMIF(Dados!$G$6:$G$155,'DFs (2)'!$B51,Dados!$H$6:$H$155)+SUMIF(Dados!$B$6:$B$155,'DFs (2)'!$B51-7,Dados!$I$6:$I$155)+SUMIF(Dados!$B$6:$B$155,'DFs (2)'!$B51-7,Dados!$J$6:$J$155))</f>
        <v>-1993</v>
      </c>
      <c r="F51" s="17">
        <f t="shared" si="0"/>
        <v>12351</v>
      </c>
    </row>
  </sheetData>
  <sheetProtection sheet="1" selectLockedCells="1"/>
  <mergeCells count="5">
    <mergeCell ref="B6:C6"/>
    <mergeCell ref="B19:F19"/>
    <mergeCell ref="I19:J19"/>
    <mergeCell ref="I33:J33"/>
    <mergeCell ref="L19:M19"/>
  </mergeCells>
  <conditionalFormatting sqref="C7:C16">
    <cfRule type="cellIs" dxfId="4" priority="6" operator="lessThan">
      <formula>0</formula>
    </cfRule>
  </conditionalFormatting>
  <conditionalFormatting sqref="C21:F51">
    <cfRule type="cellIs" dxfId="3" priority="1" operator="lessThan">
      <formula>0</formula>
    </cfRule>
  </conditionalFormatting>
  <conditionalFormatting sqref="J21:J30">
    <cfRule type="cellIs" dxfId="2" priority="5" operator="lessThan">
      <formula>0</formula>
    </cfRule>
  </conditionalFormatting>
  <conditionalFormatting sqref="J36:J45">
    <cfRule type="cellIs" dxfId="1" priority="3" operator="lessThan">
      <formula>0</formula>
    </cfRule>
  </conditionalFormatting>
  <conditionalFormatting sqref="M22:M31">
    <cfRule type="cellIs" dxfId="0" priority="2" operator="lessThan">
      <formula>0</formula>
    </cfRule>
  </conditionalFormatting>
  <dataValidations count="3">
    <dataValidation type="list" allowBlank="1" showInputMessage="1" showErrorMessage="1" sqref="J20 J34 M20" xr:uid="{AA6421EF-E055-410C-8DCA-84941DC41532}">
      <formula1>$B$21:$B$51</formula1>
    </dataValidation>
    <dataValidation type="list" allowBlank="1" showInputMessage="1" showErrorMessage="1" sqref="J35" xr:uid="{2D5AD49A-BB48-4781-B19A-C609F55DFAE6}">
      <formula1>"Loja A, Loja B, Loja C"</formula1>
    </dataValidation>
    <dataValidation type="list" allowBlank="1" showInputMessage="1" showErrorMessage="1" sqref="M21" xr:uid="{4A3564B3-A227-4C81-A651-28BCF7FDA38C}">
      <formula1>"Produto U,Produto V"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Dados</vt:lpstr>
      <vt:lpstr>DFs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Franco Tassoni</dc:creator>
  <cp:lastModifiedBy>Vinicius Augusto</cp:lastModifiedBy>
  <dcterms:created xsi:type="dcterms:W3CDTF">2025-05-27T20:26:55Z</dcterms:created>
  <dcterms:modified xsi:type="dcterms:W3CDTF">2026-02-12T16:34:25Z</dcterms:modified>
</cp:coreProperties>
</file>